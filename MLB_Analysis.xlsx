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vananderson/Downloads/"/>
    </mc:Choice>
  </mc:AlternateContent>
  <xr:revisionPtr revIDLastSave="0" documentId="8_{3205C046-4684-D04C-A812-52207EBD2119}" xr6:coauthVersionLast="47" xr6:coauthVersionMax="47" xr10:uidLastSave="{00000000-0000-0000-0000-000000000000}"/>
  <bookViews>
    <workbookView xWindow="11300" yWindow="780" windowWidth="22900" windowHeight="19860" xr2:uid="{975E952E-8CEB-4C80-A4AF-3363001935AD}"/>
  </bookViews>
  <sheets>
    <sheet name="Trade_Board" sheetId="4" r:id="rId1"/>
    <sheet name="Raw_Fangraphs" sheetId="1" r:id="rId2"/>
  </sheet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2" i="4"/>
  <c r="H4" i="4"/>
  <c r="D87" i="4"/>
  <c r="C140" i="4"/>
  <c r="B109" i="4"/>
  <c r="B82" i="4"/>
  <c r="E82" i="4" s="1"/>
  <c r="A150" i="4"/>
  <c r="D150" i="4" s="1"/>
  <c r="A149" i="4"/>
  <c r="D149" i="4" s="1"/>
  <c r="A148" i="4"/>
  <c r="D148" i="4" s="1"/>
  <c r="A147" i="4"/>
  <c r="C147" i="4" s="1"/>
  <c r="A146" i="4"/>
  <c r="C146" i="4" s="1"/>
  <c r="A145" i="4"/>
  <c r="C145" i="4" s="1"/>
  <c r="A144" i="4"/>
  <c r="B144" i="4" s="1"/>
  <c r="A143" i="4"/>
  <c r="B143" i="4" s="1"/>
  <c r="A142" i="4"/>
  <c r="A141" i="4"/>
  <c r="D141" i="4" s="1"/>
  <c r="A140" i="4"/>
  <c r="D140" i="4" s="1"/>
  <c r="A139" i="4"/>
  <c r="C139" i="4" s="1"/>
  <c r="A138" i="4"/>
  <c r="C138" i="4" s="1"/>
  <c r="A137" i="4"/>
  <c r="C137" i="4" s="1"/>
  <c r="A136" i="4"/>
  <c r="B136" i="4" s="1"/>
  <c r="A135" i="4"/>
  <c r="B135" i="4" s="1"/>
  <c r="A134" i="4"/>
  <c r="D134" i="4" s="1"/>
  <c r="A133" i="4"/>
  <c r="D133" i="4" s="1"/>
  <c r="A132" i="4"/>
  <c r="D132" i="4" s="1"/>
  <c r="A131" i="4"/>
  <c r="C131" i="4" s="1"/>
  <c r="A130" i="4"/>
  <c r="C130" i="4" s="1"/>
  <c r="A129" i="4"/>
  <c r="C129" i="4" s="1"/>
  <c r="A128" i="4"/>
  <c r="B128" i="4" s="1"/>
  <c r="A127" i="4"/>
  <c r="B127" i="4" s="1"/>
  <c r="A126" i="4"/>
  <c r="C126" i="4" s="1"/>
  <c r="A125" i="4"/>
  <c r="D125" i="4" s="1"/>
  <c r="A124" i="4"/>
  <c r="D124" i="4" s="1"/>
  <c r="A123" i="4"/>
  <c r="C123" i="4" s="1"/>
  <c r="A122" i="4"/>
  <c r="C122" i="4" s="1"/>
  <c r="A121" i="4"/>
  <c r="C121" i="4" s="1"/>
  <c r="A120" i="4"/>
  <c r="B120" i="4" s="1"/>
  <c r="A119" i="4"/>
  <c r="B119" i="4" s="1"/>
  <c r="A118" i="4"/>
  <c r="A117" i="4"/>
  <c r="D117" i="4" s="1"/>
  <c r="A116" i="4"/>
  <c r="D116" i="4" s="1"/>
  <c r="A115" i="4"/>
  <c r="C115" i="4" s="1"/>
  <c r="A114" i="4"/>
  <c r="C114" i="4" s="1"/>
  <c r="A113" i="4"/>
  <c r="C113" i="4" s="1"/>
  <c r="A112" i="4"/>
  <c r="B112" i="4" s="1"/>
  <c r="A111" i="4"/>
  <c r="B111" i="4" s="1"/>
  <c r="A110" i="4"/>
  <c r="A109" i="4"/>
  <c r="D109" i="4" s="1"/>
  <c r="A108" i="4"/>
  <c r="D108" i="4" s="1"/>
  <c r="A107" i="4"/>
  <c r="C107" i="4" s="1"/>
  <c r="A106" i="4"/>
  <c r="C106" i="4" s="1"/>
  <c r="A105" i="4"/>
  <c r="C105" i="4" s="1"/>
  <c r="A104" i="4"/>
  <c r="B104" i="4" s="1"/>
  <c r="A103" i="4"/>
  <c r="B103" i="4" s="1"/>
  <c r="A102" i="4"/>
  <c r="C102" i="4" s="1"/>
  <c r="A101" i="4"/>
  <c r="D101" i="4" s="1"/>
  <c r="A100" i="4"/>
  <c r="D100" i="4" s="1"/>
  <c r="A99" i="4"/>
  <c r="C99" i="4" s="1"/>
  <c r="A98" i="4"/>
  <c r="C98" i="4" s="1"/>
  <c r="A97" i="4"/>
  <c r="C97" i="4" s="1"/>
  <c r="A96" i="4"/>
  <c r="B96" i="4" s="1"/>
  <c r="A95" i="4"/>
  <c r="B95" i="4" s="1"/>
  <c r="A94" i="4"/>
  <c r="C94" i="4" s="1"/>
  <c r="A93" i="4"/>
  <c r="D93" i="4" s="1"/>
  <c r="A92" i="4"/>
  <c r="D92" i="4" s="1"/>
  <c r="A91" i="4"/>
  <c r="C91" i="4" s="1"/>
  <c r="A90" i="4"/>
  <c r="C90" i="4" s="1"/>
  <c r="A89" i="4"/>
  <c r="C89" i="4" s="1"/>
  <c r="A88" i="4"/>
  <c r="B88" i="4" s="1"/>
  <c r="A87" i="4"/>
  <c r="B87" i="4" s="1"/>
  <c r="A86" i="4"/>
  <c r="A85" i="4"/>
  <c r="D85" i="4" s="1"/>
  <c r="A84" i="4"/>
  <c r="D84" i="4" s="1"/>
  <c r="A83" i="4"/>
  <c r="C83" i="4" s="1"/>
  <c r="A82" i="4"/>
  <c r="C82" i="4" s="1"/>
  <c r="A81" i="4"/>
  <c r="C81" i="4" s="1"/>
  <c r="A80" i="4"/>
  <c r="B80" i="4" s="1"/>
  <c r="A79" i="4"/>
  <c r="B79" i="4" s="1"/>
  <c r="A78" i="4"/>
  <c r="D78" i="4" s="1"/>
  <c r="A77" i="4"/>
  <c r="D77" i="4" s="1"/>
  <c r="A76" i="4"/>
  <c r="D76" i="4" s="1"/>
  <c r="A75" i="4"/>
  <c r="C75" i="4" s="1"/>
  <c r="A74" i="4"/>
  <c r="C74" i="4" s="1"/>
  <c r="A73" i="4"/>
  <c r="C73" i="4" s="1"/>
  <c r="A72" i="4"/>
  <c r="B72" i="4" s="1"/>
  <c r="A71" i="4"/>
  <c r="B71" i="4" s="1"/>
  <c r="A70" i="4"/>
  <c r="A69" i="4"/>
  <c r="D69" i="4" s="1"/>
  <c r="A68" i="4"/>
  <c r="D68" i="4" s="1"/>
  <c r="A67" i="4"/>
  <c r="C67" i="4" s="1"/>
  <c r="A66" i="4"/>
  <c r="C66" i="4" s="1"/>
  <c r="A65" i="4"/>
  <c r="C65" i="4" s="1"/>
  <c r="A64" i="4"/>
  <c r="B64" i="4" s="1"/>
  <c r="A63" i="4"/>
  <c r="B63" i="4" s="1"/>
  <c r="A62" i="4"/>
  <c r="C62" i="4" s="1"/>
  <c r="A61" i="4"/>
  <c r="D61" i="4" s="1"/>
  <c r="A60" i="4"/>
  <c r="D60" i="4" s="1"/>
  <c r="A59" i="4"/>
  <c r="C59" i="4" s="1"/>
  <c r="A58" i="4"/>
  <c r="C58" i="4" s="1"/>
  <c r="A57" i="4"/>
  <c r="C57" i="4" s="1"/>
  <c r="A56" i="4"/>
  <c r="B56" i="4" s="1"/>
  <c r="A55" i="4"/>
  <c r="B55" i="4" s="1"/>
  <c r="A54" i="4"/>
  <c r="D54" i="4" s="1"/>
  <c r="A53" i="4"/>
  <c r="D53" i="4" s="1"/>
  <c r="A52" i="4"/>
  <c r="D52" i="4" s="1"/>
  <c r="A51" i="4"/>
  <c r="C51" i="4" s="1"/>
  <c r="A50" i="4"/>
  <c r="C50" i="4" s="1"/>
  <c r="A49" i="4"/>
  <c r="C49" i="4" s="1"/>
  <c r="A48" i="4"/>
  <c r="B48" i="4" s="1"/>
  <c r="A47" i="4"/>
  <c r="B47" i="4" s="1"/>
  <c r="A46" i="4"/>
  <c r="A45" i="4"/>
  <c r="D45" i="4" s="1"/>
  <c r="A44" i="4"/>
  <c r="D44" i="4" s="1"/>
  <c r="A43" i="4"/>
  <c r="C43" i="4" s="1"/>
  <c r="A42" i="4"/>
  <c r="C42" i="4" s="1"/>
  <c r="A41" i="4"/>
  <c r="C41" i="4" s="1"/>
  <c r="A40" i="4"/>
  <c r="B40" i="4" s="1"/>
  <c r="A39" i="4"/>
  <c r="B39" i="4" s="1"/>
  <c r="A38" i="4"/>
  <c r="C38" i="4" s="1"/>
  <c r="A37" i="4"/>
  <c r="D37" i="4" s="1"/>
  <c r="A36" i="4"/>
  <c r="D36" i="4" s="1"/>
  <c r="A35" i="4"/>
  <c r="C35" i="4" s="1"/>
  <c r="A34" i="4"/>
  <c r="C34" i="4" s="1"/>
  <c r="A33" i="4"/>
  <c r="C33" i="4" s="1"/>
  <c r="A32" i="4"/>
  <c r="B32" i="4" s="1"/>
  <c r="A31" i="4"/>
  <c r="B31" i="4" s="1"/>
  <c r="A30" i="4"/>
  <c r="C30" i="4" s="1"/>
  <c r="A29" i="4"/>
  <c r="D29" i="4" s="1"/>
  <c r="A28" i="4"/>
  <c r="D28" i="4" s="1"/>
  <c r="A27" i="4"/>
  <c r="C27" i="4" s="1"/>
  <c r="A26" i="4"/>
  <c r="C26" i="4" s="1"/>
  <c r="A25" i="4"/>
  <c r="C25" i="4" s="1"/>
  <c r="A24" i="4"/>
  <c r="B24" i="4" s="1"/>
  <c r="A23" i="4"/>
  <c r="B23" i="4" s="1"/>
  <c r="A22" i="4"/>
  <c r="A21" i="4"/>
  <c r="D21" i="4" s="1"/>
  <c r="A20" i="4"/>
  <c r="D20" i="4" s="1"/>
  <c r="A19" i="4"/>
  <c r="C19" i="4" s="1"/>
  <c r="A18" i="4"/>
  <c r="C18" i="4" s="1"/>
  <c r="A17" i="4"/>
  <c r="C17" i="4" s="1"/>
  <c r="A16" i="4"/>
  <c r="B16" i="4" s="1"/>
  <c r="A15" i="4"/>
  <c r="B15" i="4" s="1"/>
  <c r="A14" i="4"/>
  <c r="C14" i="4" s="1"/>
  <c r="A13" i="4"/>
  <c r="D13" i="4" s="1"/>
  <c r="A12" i="4"/>
  <c r="D12" i="4" s="1"/>
  <c r="A11" i="4"/>
  <c r="C11" i="4" s="1"/>
  <c r="A10" i="4"/>
  <c r="C10" i="4" s="1"/>
  <c r="A9" i="4"/>
  <c r="C9" i="4" s="1"/>
  <c r="A8" i="4"/>
  <c r="B8" i="4" s="1"/>
  <c r="A7" i="4"/>
  <c r="B7" i="4" s="1"/>
  <c r="A6" i="4"/>
  <c r="C6" i="4" s="1"/>
  <c r="A5" i="4"/>
  <c r="D5" i="4" s="1"/>
  <c r="A4" i="4"/>
  <c r="D4" i="4" s="1"/>
  <c r="A3" i="4"/>
  <c r="C3" i="4" s="1"/>
  <c r="A2" i="4"/>
  <c r="C2" i="4" s="1"/>
  <c r="A1" i="4"/>
  <c r="B10" i="4" l="1"/>
  <c r="C92" i="4"/>
  <c r="B84" i="4"/>
  <c r="D40" i="4"/>
  <c r="B107" i="4"/>
  <c r="E107" i="4" s="1"/>
  <c r="D82" i="4"/>
  <c r="B140" i="4"/>
  <c r="D107" i="4"/>
  <c r="C53" i="4"/>
  <c r="D115" i="4"/>
  <c r="C87" i="4"/>
  <c r="E87" i="4" s="1"/>
  <c r="B58" i="4"/>
  <c r="C141" i="4"/>
  <c r="B9" i="4"/>
  <c r="B59" i="4"/>
  <c r="E59" i="4" s="1"/>
  <c r="B123" i="4"/>
  <c r="E123" i="4" s="1"/>
  <c r="C88" i="4"/>
  <c r="E88" i="4" s="1"/>
  <c r="C144" i="4"/>
  <c r="D106" i="4"/>
  <c r="B125" i="4"/>
  <c r="C149" i="4"/>
  <c r="B33" i="4"/>
  <c r="B85" i="4"/>
  <c r="B147" i="4"/>
  <c r="C125" i="4"/>
  <c r="D41" i="4"/>
  <c r="D130" i="4"/>
  <c r="B50" i="4"/>
  <c r="C117" i="4"/>
  <c r="B34" i="4"/>
  <c r="E34" i="4" s="1"/>
  <c r="B100" i="4"/>
  <c r="B149" i="4"/>
  <c r="D55" i="4"/>
  <c r="D144" i="4"/>
  <c r="B25" i="4"/>
  <c r="B35" i="4"/>
  <c r="B101" i="4"/>
  <c r="C24" i="4"/>
  <c r="E24" i="4" s="1"/>
  <c r="C134" i="4"/>
  <c r="D66" i="4"/>
  <c r="B130" i="4"/>
  <c r="D91" i="4"/>
  <c r="B20" i="4"/>
  <c r="B45" i="4"/>
  <c r="B98" i="4"/>
  <c r="E98" i="4" s="1"/>
  <c r="B21" i="4"/>
  <c r="B49" i="4"/>
  <c r="B75" i="4"/>
  <c r="E75" i="4" s="1"/>
  <c r="B99" i="4"/>
  <c r="B122" i="4"/>
  <c r="E122" i="4" s="1"/>
  <c r="B139" i="4"/>
  <c r="C23" i="4"/>
  <c r="E23" i="4" s="1"/>
  <c r="C48" i="4"/>
  <c r="E48" i="4" s="1"/>
  <c r="C79" i="4"/>
  <c r="E79" i="4" s="1"/>
  <c r="C116" i="4"/>
  <c r="C135" i="4"/>
  <c r="E135" i="4" s="1"/>
  <c r="D16" i="4"/>
  <c r="D81" i="4"/>
  <c r="D105" i="4"/>
  <c r="D129" i="4"/>
  <c r="E140" i="4"/>
  <c r="B5" i="4"/>
  <c r="B83" i="4"/>
  <c r="B145" i="4"/>
  <c r="C29" i="4"/>
  <c r="C54" i="4"/>
  <c r="C120" i="4"/>
  <c r="D83" i="4"/>
  <c r="D135" i="4"/>
  <c r="D111" i="4"/>
  <c r="E130" i="4"/>
  <c r="B60" i="4"/>
  <c r="C63" i="4"/>
  <c r="E63" i="4" s="1"/>
  <c r="C96" i="4"/>
  <c r="E96" i="4" s="1"/>
  <c r="D145" i="4"/>
  <c r="B11" i="4"/>
  <c r="E11" i="4" s="1"/>
  <c r="B36" i="4"/>
  <c r="B61" i="4"/>
  <c r="B92" i="4"/>
  <c r="B115" i="4"/>
  <c r="E115" i="4" s="1"/>
  <c r="B133" i="4"/>
  <c r="C12" i="4"/>
  <c r="C39" i="4"/>
  <c r="E39" i="4" s="1"/>
  <c r="C64" i="4"/>
  <c r="E64" i="4" s="1"/>
  <c r="C101" i="4"/>
  <c r="C127" i="4"/>
  <c r="E127" i="4" s="1"/>
  <c r="C150" i="4"/>
  <c r="D71" i="4"/>
  <c r="D95" i="4"/>
  <c r="D120" i="4"/>
  <c r="D146" i="4"/>
  <c r="B19" i="4"/>
  <c r="E19" i="4" s="1"/>
  <c r="B44" i="4"/>
  <c r="B69" i="4"/>
  <c r="B97" i="4"/>
  <c r="B116" i="4"/>
  <c r="B137" i="4"/>
  <c r="C40" i="4"/>
  <c r="E40" i="4" s="1"/>
  <c r="C76" i="4"/>
  <c r="C111" i="4"/>
  <c r="C128" i="4"/>
  <c r="E128" i="4" s="1"/>
  <c r="D2" i="4"/>
  <c r="D74" i="4"/>
  <c r="D96" i="4"/>
  <c r="D121" i="4"/>
  <c r="D147" i="4"/>
  <c r="B129" i="4"/>
  <c r="C37" i="4"/>
  <c r="E92" i="4"/>
  <c r="B74" i="4"/>
  <c r="E74" i="4" s="1"/>
  <c r="B121" i="4"/>
  <c r="B138" i="4"/>
  <c r="E138" i="4" s="1"/>
  <c r="C15" i="4"/>
  <c r="E15" i="4" s="1"/>
  <c r="C45" i="4"/>
  <c r="C78" i="4"/>
  <c r="C112" i="4"/>
  <c r="E112" i="4" s="1"/>
  <c r="D7" i="4"/>
  <c r="D80" i="4"/>
  <c r="D97" i="4"/>
  <c r="D122" i="4"/>
  <c r="D27" i="4"/>
  <c r="D119" i="4"/>
  <c r="D86" i="4"/>
  <c r="B86" i="4"/>
  <c r="D118" i="4"/>
  <c r="B118" i="4"/>
  <c r="D46" i="4"/>
  <c r="B46" i="4"/>
  <c r="D142" i="4"/>
  <c r="B142" i="4"/>
  <c r="B108" i="4"/>
  <c r="D22" i="4"/>
  <c r="B22" i="4"/>
  <c r="D131" i="4"/>
  <c r="D126" i="4"/>
  <c r="B126" i="4"/>
  <c r="E126" i="4" s="1"/>
  <c r="C28" i="4"/>
  <c r="C103" i="4"/>
  <c r="E103" i="4" s="1"/>
  <c r="E99" i="4"/>
  <c r="C4" i="4"/>
  <c r="C93" i="4"/>
  <c r="C118" i="4"/>
  <c r="C132" i="4"/>
  <c r="C143" i="4"/>
  <c r="E143" i="4" s="1"/>
  <c r="D8" i="4"/>
  <c r="D19" i="4"/>
  <c r="D33" i="4"/>
  <c r="D47" i="4"/>
  <c r="D58" i="4"/>
  <c r="D72" i="4"/>
  <c r="D110" i="4"/>
  <c r="B110" i="4"/>
  <c r="B12" i="4"/>
  <c r="B26" i="4"/>
  <c r="E26" i="4" s="1"/>
  <c r="B37" i="4"/>
  <c r="B51" i="4"/>
  <c r="E51" i="4" s="1"/>
  <c r="B65" i="4"/>
  <c r="B76" i="4"/>
  <c r="E76" i="4" s="1"/>
  <c r="B90" i="4"/>
  <c r="E90" i="4" s="1"/>
  <c r="C5" i="4"/>
  <c r="E5" i="4" s="1"/>
  <c r="C16" i="4"/>
  <c r="E16" i="4" s="1"/>
  <c r="C44" i="4"/>
  <c r="C55" i="4"/>
  <c r="E55" i="4" s="1"/>
  <c r="C69" i="4"/>
  <c r="E69" i="4" s="1"/>
  <c r="C80" i="4"/>
  <c r="E80" i="4" s="1"/>
  <c r="C108" i="4"/>
  <c r="E108" i="4" s="1"/>
  <c r="C119" i="4"/>
  <c r="E119" i="4" s="1"/>
  <c r="C133" i="4"/>
  <c r="E144" i="4"/>
  <c r="D9" i="4"/>
  <c r="D23" i="4"/>
  <c r="D34" i="4"/>
  <c r="D48" i="4"/>
  <c r="D59" i="4"/>
  <c r="D73" i="4"/>
  <c r="D98" i="4"/>
  <c r="D112" i="4"/>
  <c r="D123" i="4"/>
  <c r="D137" i="4"/>
  <c r="B89" i="4"/>
  <c r="C68" i="4"/>
  <c r="C104" i="4"/>
  <c r="E104" i="4" s="1"/>
  <c r="D136" i="4"/>
  <c r="D70" i="4"/>
  <c r="B70" i="4"/>
  <c r="B2" i="4"/>
  <c r="E2" i="4" s="1"/>
  <c r="B13" i="4"/>
  <c r="B27" i="4"/>
  <c r="E27" i="4" s="1"/>
  <c r="B41" i="4"/>
  <c r="B52" i="4"/>
  <c r="B66" i="4"/>
  <c r="E66" i="4" s="1"/>
  <c r="B77" i="4"/>
  <c r="B91" i="4"/>
  <c r="E91" i="4" s="1"/>
  <c r="B105" i="4"/>
  <c r="B141" i="4"/>
  <c r="C20" i="4"/>
  <c r="E20" i="4" s="1"/>
  <c r="C31" i="4"/>
  <c r="E31" i="4" s="1"/>
  <c r="C56" i="4"/>
  <c r="E56" i="4" s="1"/>
  <c r="C70" i="4"/>
  <c r="C84" i="4"/>
  <c r="E84" i="4" s="1"/>
  <c r="C95" i="4"/>
  <c r="E95" i="4" s="1"/>
  <c r="C109" i="4"/>
  <c r="E109" i="4" s="1"/>
  <c r="E120" i="4"/>
  <c r="C148" i="4"/>
  <c r="D10" i="4"/>
  <c r="D24" i="4"/>
  <c r="D35" i="4"/>
  <c r="D49" i="4"/>
  <c r="D63" i="4"/>
  <c r="D88" i="4"/>
  <c r="D99" i="4"/>
  <c r="D113" i="4"/>
  <c r="D127" i="4"/>
  <c r="D138" i="4"/>
  <c r="B73" i="4"/>
  <c r="B148" i="4"/>
  <c r="C13" i="4"/>
  <c r="C52" i="4"/>
  <c r="C77" i="4"/>
  <c r="D3" i="4"/>
  <c r="D17" i="4"/>
  <c r="D42" i="4"/>
  <c r="D67" i="4"/>
  <c r="E58" i="4"/>
  <c r="E83" i="4"/>
  <c r="B113" i="4"/>
  <c r="B124" i="4"/>
  <c r="D32" i="4"/>
  <c r="D57" i="4"/>
  <c r="D14" i="4"/>
  <c r="B14" i="4"/>
  <c r="E14" i="4" s="1"/>
  <c r="D30" i="4"/>
  <c r="B30" i="4"/>
  <c r="E30" i="4" s="1"/>
  <c r="E35" i="4"/>
  <c r="E50" i="4"/>
  <c r="B3" i="4"/>
  <c r="E3" i="4" s="1"/>
  <c r="B17" i="4"/>
  <c r="B28" i="4"/>
  <c r="B42" i="4"/>
  <c r="B53" i="4"/>
  <c r="E53" i="4" s="1"/>
  <c r="B67" i="4"/>
  <c r="E67" i="4" s="1"/>
  <c r="B81" i="4"/>
  <c r="E81" i="4" s="1"/>
  <c r="B106" i="4"/>
  <c r="E106" i="4" s="1"/>
  <c r="B117" i="4"/>
  <c r="B131" i="4"/>
  <c r="E131" i="4" s="1"/>
  <c r="C7" i="4"/>
  <c r="E7" i="4" s="1"/>
  <c r="C21" i="4"/>
  <c r="E21" i="4" s="1"/>
  <c r="C32" i="4"/>
  <c r="E32" i="4" s="1"/>
  <c r="C46" i="4"/>
  <c r="C60" i="4"/>
  <c r="C71" i="4"/>
  <c r="E71" i="4" s="1"/>
  <c r="C85" i="4"/>
  <c r="E85" i="4" s="1"/>
  <c r="C110" i="4"/>
  <c r="C124" i="4"/>
  <c r="D11" i="4"/>
  <c r="D25" i="4"/>
  <c r="D39" i="4"/>
  <c r="D50" i="4"/>
  <c r="D64" i="4"/>
  <c r="D75" i="4"/>
  <c r="D89" i="4"/>
  <c r="D103" i="4"/>
  <c r="D114" i="4"/>
  <c r="D128" i="4"/>
  <c r="D139" i="4"/>
  <c r="E42" i="4"/>
  <c r="D102" i="4"/>
  <c r="B102" i="4"/>
  <c r="E102" i="4" s="1"/>
  <c r="D62" i="4"/>
  <c r="B62" i="4"/>
  <c r="E62" i="4" s="1"/>
  <c r="D31" i="4"/>
  <c r="D56" i="4"/>
  <c r="C142" i="4"/>
  <c r="E142" i="4" s="1"/>
  <c r="D18" i="4"/>
  <c r="D43" i="4"/>
  <c r="E10" i="4"/>
  <c r="D38" i="4"/>
  <c r="B38" i="4"/>
  <c r="E38" i="4" s="1"/>
  <c r="D94" i="4"/>
  <c r="B94" i="4"/>
  <c r="E94" i="4" s="1"/>
  <c r="B114" i="4"/>
  <c r="E114" i="4" s="1"/>
  <c r="H3" i="4"/>
  <c r="H2" i="4"/>
  <c r="D6" i="4"/>
  <c r="B6" i="4"/>
  <c r="E6" i="4" s="1"/>
  <c r="B4" i="4"/>
  <c r="B18" i="4"/>
  <c r="E18" i="4" s="1"/>
  <c r="B29" i="4"/>
  <c r="E29" i="4" s="1"/>
  <c r="B43" i="4"/>
  <c r="E43" i="4" s="1"/>
  <c r="B57" i="4"/>
  <c r="B68" i="4"/>
  <c r="B93" i="4"/>
  <c r="B132" i="4"/>
  <c r="B146" i="4"/>
  <c r="E146" i="4" s="1"/>
  <c r="C8" i="4"/>
  <c r="E8" i="4" s="1"/>
  <c r="C22" i="4"/>
  <c r="E22" i="4" s="1"/>
  <c r="C36" i="4"/>
  <c r="E36" i="4" s="1"/>
  <c r="C47" i="4"/>
  <c r="E47" i="4" s="1"/>
  <c r="C61" i="4"/>
  <c r="E61" i="4" s="1"/>
  <c r="C72" i="4"/>
  <c r="E72" i="4" s="1"/>
  <c r="C86" i="4"/>
  <c r="C100" i="4"/>
  <c r="E100" i="4" s="1"/>
  <c r="E111" i="4"/>
  <c r="E125" i="4"/>
  <c r="C136" i="4"/>
  <c r="E136" i="4" s="1"/>
  <c r="D15" i="4"/>
  <c r="D26" i="4"/>
  <c r="D51" i="4"/>
  <c r="D65" i="4"/>
  <c r="D79" i="4"/>
  <c r="D90" i="4"/>
  <c r="D104" i="4"/>
  <c r="D143" i="4"/>
  <c r="B54" i="4"/>
  <c r="E54" i="4" s="1"/>
  <c r="B78" i="4"/>
  <c r="E78" i="4" s="1"/>
  <c r="B134" i="4"/>
  <c r="E134" i="4" s="1"/>
  <c r="B150" i="4"/>
  <c r="E150" i="4" s="1"/>
  <c r="E9" i="4"/>
  <c r="E17" i="4"/>
  <c r="E25" i="4"/>
  <c r="E33" i="4"/>
  <c r="E41" i="4"/>
  <c r="E49" i="4"/>
  <c r="E57" i="4"/>
  <c r="E65" i="4"/>
  <c r="E73" i="4"/>
  <c r="E89" i="4"/>
  <c r="E97" i="4"/>
  <c r="E105" i="4"/>
  <c r="E113" i="4"/>
  <c r="E121" i="4"/>
  <c r="E129" i="4"/>
  <c r="E137" i="4"/>
  <c r="E145" i="4"/>
  <c r="E139" i="4"/>
  <c r="E147" i="4"/>
  <c r="H5" i="4" l="1"/>
  <c r="E117" i="4"/>
  <c r="E101" i="4"/>
  <c r="E141" i="4"/>
  <c r="E37" i="4"/>
  <c r="E86" i="4"/>
  <c r="E12" i="4"/>
  <c r="E60" i="4"/>
  <c r="E44" i="4"/>
  <c r="E124" i="4"/>
  <c r="E13" i="4"/>
  <c r="E149" i="4"/>
  <c r="H6" i="4"/>
  <c r="E133" i="4"/>
  <c r="E70" i="4"/>
  <c r="E45" i="4"/>
  <c r="E46" i="4"/>
  <c r="E116" i="4"/>
  <c r="E148" i="4"/>
  <c r="E4" i="4"/>
  <c r="E77" i="4"/>
  <c r="E68" i="4"/>
  <c r="E132" i="4"/>
  <c r="E28" i="4"/>
  <c r="E52" i="4"/>
  <c r="E118" i="4"/>
  <c r="E110" i="4"/>
  <c r="E9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2285C4-7D8F-1C4F-94B7-C87C80120E6F}" keepAlive="1" name="Query - pitch_movement" description="Connection to the 'pitch_movement' query in the workbook." type="5" refreshedVersion="8" background="1" saveData="1">
    <dbPr connection="Provider=Microsoft.Mashup.OleDb.1;Data Source=$Workbook$;Location=pitch_movement;Extended Properties=&quot;&quot;" command="SELECT * FROM [pitch_movement]"/>
  </connection>
  <connection id="2" xr16:uid="{BAB3D044-DBDA-724A-A79E-AAE4AEC55858}" keepAlive="1" name="Query - pitch_movement (2)" description="Connection to the 'pitch_movement (2)' query in the workbook." type="5" refreshedVersion="8" background="1" saveData="1">
    <dbPr connection="Provider=Microsoft.Mashup.OleDb.1;Data Source=$Workbook$;Location=&quot;pitch_movement (2)&quot;;Extended Properties=&quot;&quot;" command="SELECT * FROM [pitch_movement (2)]"/>
  </connection>
  <connection id="3" xr16:uid="{7C6AF23A-BDB4-0C48-9093-B9BFE4003398}" keepAlive="1" name="Query - pitch_movement (3)" description="Connection to the 'pitch_movement (3)' query in the workbook." type="5" refreshedVersion="8" background="1" saveData="1">
    <dbPr connection="Provider=Microsoft.Mashup.OleDb.1;Data Source=$Workbook$;Location=&quot;pitch_movement (3)&quot;;Extended Properties=&quot;&quot;" command="SELECT * FROM [pitch_movement (3)]"/>
  </connection>
  <connection id="4" xr16:uid="{72B41C1B-3311-A44F-A4C7-88D1AD4B4107}" keepAlive="1" name="Query - pitch_movement (4)" description="Connection to the 'pitch_movement (4)' query in the workbook." type="5" refreshedVersion="8" background="1" saveData="1">
    <dbPr connection="Provider=Microsoft.Mashup.OleDb.1;Data Source=$Workbook$;Location=&quot;pitch_movement (4)&quot;;Extended Properties=&quot;&quot;" command="SELECT * FROM [pitch_movement (4)]"/>
  </connection>
  <connection id="5" xr16:uid="{4BB1BA59-FCB5-B448-B7E5-FA0D1D3C75AA}" keepAlive="1" name="Query - pitch-arsenal-stats" description="Connection to the 'pitch-arsenal-stats' query in the workbook." type="5" refreshedVersion="8" background="1" saveData="1">
    <dbPr connection="Provider=Microsoft.Mashup.OleDb.1;Data Source=$Workbook$;Location=pitch-arsenal-stats;Extended Properties=&quot;&quot;" command="SELECT * FROM [pitch-arsenal-stats]"/>
  </connection>
</connections>
</file>

<file path=xl/sharedStrings.xml><?xml version="1.0" encoding="utf-8"?>
<sst xmlns="http://schemas.openxmlformats.org/spreadsheetml/2006/main" count="342" uniqueCount="220">
  <si>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</si>
  <si>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</si>
  <si>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</si>
  <si>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</si>
  <si>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</si>
  <si>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</si>
  <si>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</si>
  <si>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</si>
  <si>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</si>
  <si>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</si>
  <si>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</si>
  <si>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</si>
  <si>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</si>
  <si>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</si>
  <si>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</si>
  <si>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</si>
  <si>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</si>
  <si>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</si>
  <si>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</si>
  <si>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</si>
  <si>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</si>
  <si>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</si>
  <si>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Pete Crow-Armstrong</t>
  </si>
  <si>
    <t>CHC</t>
  </si>
  <si>
    <t>Bobby Witt Jr.</t>
  </si>
  <si>
    <t>KCR</t>
  </si>
  <si>
    <t>James Wood</t>
  </si>
  <si>
    <t>WSN</t>
  </si>
  <si>
    <t>Yordan Alvarez</t>
  </si>
  <si>
    <t>HOU</t>
  </si>
  <si>
    <t>Otto Lopez</t>
  </si>
  <si>
    <t>MIA</t>
  </si>
  <si>
    <t>Kevin McGonigle</t>
  </si>
  <si>
    <t>DET</t>
  </si>
  <si>
    <t>Dillon Dingler</t>
  </si>
  <si>
    <t>Luis Arraez</t>
  </si>
  <si>
    <t>SFG</t>
  </si>
  <si>
    <t>JJ Wetherholt</t>
  </si>
  <si>
    <t>STL</t>
  </si>
  <si>
    <t>Brice Turang</t>
  </si>
  <si>
    <t>MIL</t>
  </si>
  <si>
    <t>Shohei Ohtani</t>
  </si>
  <si>
    <t>LAD</t>
  </si>
  <si>
    <t>Junior Caminero</t>
  </si>
  <si>
    <t>TBR</t>
  </si>
  <si>
    <t>Miguel Vargas</t>
  </si>
  <si>
    <t>CHW</t>
  </si>
  <si>
    <t>Ben Rice</t>
  </si>
  <si>
    <t>NYY</t>
  </si>
  <si>
    <t>Elly De La Cruz</t>
  </si>
  <si>
    <t>CIN</t>
  </si>
  <si>
    <t>Andy Pages</t>
  </si>
  <si>
    <t>Corbin Carroll</t>
  </si>
  <si>
    <t>ARI</t>
  </si>
  <si>
    <t>Nick Kurtz</t>
  </si>
  <si>
    <t>ATH</t>
  </si>
  <si>
    <t>Bryan Reynolds</t>
  </si>
  <si>
    <t>PIT</t>
  </si>
  <si>
    <t>Juan Soto</t>
  </si>
  <si>
    <t>NYM</t>
  </si>
  <si>
    <t>Brayan Rocchio</t>
  </si>
  <si>
    <t>CLE</t>
  </si>
  <si>
    <t>Byron Buxton</t>
  </si>
  <si>
    <t>MIN</t>
  </si>
  <si>
    <t>Max Muncy</t>
  </si>
  <si>
    <t>Ceddanne Rafaela</t>
  </si>
  <si>
    <t>BOS</t>
  </si>
  <si>
    <t>Xavier Edwards</t>
  </si>
  <si>
    <t>Randy Arozarena</t>
  </si>
  <si>
    <t>SEA</t>
  </si>
  <si>
    <t>Matt Olson</t>
  </si>
  <si>
    <t>ATL</t>
  </si>
  <si>
    <t>Willson Contreras</t>
  </si>
  <si>
    <t>Freddie Freeman</t>
  </si>
  <si>
    <t>Jordan Walker</t>
  </si>
  <si>
    <t>Josh Jung</t>
  </si>
  <si>
    <t>TEX</t>
  </si>
  <si>
    <t>Riley Greene</t>
  </si>
  <si>
    <t>Brandon Lowe</t>
  </si>
  <si>
    <t>Kyle Schwarber</t>
  </si>
  <si>
    <t>PHI</t>
  </si>
  <si>
    <t>Cody Bellinger</t>
  </si>
  <si>
    <t>Yandy Díaz</t>
  </si>
  <si>
    <t>CJ Abrams</t>
  </si>
  <si>
    <t>Michael Harris II</t>
  </si>
  <si>
    <t>Mike Trout</t>
  </si>
  <si>
    <t>LAA</t>
  </si>
  <si>
    <t>Jonathan Aranda</t>
  </si>
  <si>
    <t>Ezequiel Duran</t>
  </si>
  <si>
    <t>Colson Montgomery</t>
  </si>
  <si>
    <t>Dansby Swanson</t>
  </si>
  <si>
    <t>Pete Alonso</t>
  </si>
  <si>
    <t>BAL</t>
  </si>
  <si>
    <t>José Ramírez</t>
  </si>
  <si>
    <t>Kazuma Okamoto</t>
  </si>
  <si>
    <t>TOR</t>
  </si>
  <si>
    <t>Shea Langeliers</t>
  </si>
  <si>
    <t>Jazz Chisholm Jr.</t>
  </si>
  <si>
    <t>Isaac Paredes</t>
  </si>
  <si>
    <t>Mauricio Dubón</t>
  </si>
  <si>
    <t>Geraldo Perdomo</t>
  </si>
  <si>
    <t>Hunter Goodman</t>
  </si>
  <si>
    <t>COL</t>
  </si>
  <si>
    <t>Zach Neto</t>
  </si>
  <si>
    <t>Jake Bauers</t>
  </si>
  <si>
    <t>Garrett Mitchell</t>
  </si>
  <si>
    <t>Wilyer Abreu</t>
  </si>
  <si>
    <t>Gunnar Henderson</t>
  </si>
  <si>
    <t>Seiya Suzuki</t>
  </si>
  <si>
    <t>Nick Gonzales</t>
  </si>
  <si>
    <t>Julio Rodríguez</t>
  </si>
  <si>
    <t>Casey Schmitt</t>
  </si>
  <si>
    <t>Ketel Marte</t>
  </si>
  <si>
    <t>Luis García Jr.</t>
  </si>
  <si>
    <t>Fernando Tatis Jr.</t>
  </si>
  <si>
    <t>SDP</t>
  </si>
  <si>
    <t>Michael Busch</t>
  </si>
  <si>
    <t>Chase Meidroth</t>
  </si>
  <si>
    <t>Kyle Karros</t>
  </si>
  <si>
    <t>TJ Rumfield</t>
  </si>
  <si>
    <t>Alec Burleson</t>
  </si>
  <si>
    <t>Sal Stewart</t>
  </si>
  <si>
    <t>Alex Bregman</t>
  </si>
  <si>
    <t>Liam Hicks</t>
  </si>
  <si>
    <t>Chase DeLauter</t>
  </si>
  <si>
    <t>Bryce Harper</t>
  </si>
  <si>
    <t>Cole Young</t>
  </si>
  <si>
    <t>Ian Happ</t>
  </si>
  <si>
    <t>Ozzie Albies</t>
  </si>
  <si>
    <t>Jake McCarthy</t>
  </si>
  <si>
    <t>Carson Benge</t>
  </si>
  <si>
    <t>Xander Bogaerts</t>
  </si>
  <si>
    <t>William Contreras</t>
  </si>
  <si>
    <t>Taylor Ward</t>
  </si>
  <si>
    <t>Brandon Marsh</t>
  </si>
  <si>
    <t>Kody Clemens</t>
  </si>
  <si>
    <t>Christian Walker</t>
  </si>
  <si>
    <t>Iván Herrera</t>
  </si>
  <si>
    <t>Bryson Stott</t>
  </si>
  <si>
    <t>Tyler Soderstrom</t>
  </si>
  <si>
    <t>Andrés Giménez</t>
  </si>
  <si>
    <t>Sam Antonacci</t>
  </si>
  <si>
    <t>Jac Caglianone</t>
  </si>
  <si>
    <t>Nolan Arenado</t>
  </si>
  <si>
    <t>Masyn Winn</t>
  </si>
  <si>
    <t>Carter Jensen</t>
  </si>
  <si>
    <t>Caleb Durbin</t>
  </si>
  <si>
    <t>Drake Baldwin</t>
  </si>
  <si>
    <t>Manny Machado</t>
  </si>
  <si>
    <t>Brooks Lee</t>
  </si>
  <si>
    <t>Matt Chapman</t>
  </si>
  <si>
    <t>Brandon Nimmo</t>
  </si>
  <si>
    <t>Rafael Devers</t>
  </si>
  <si>
    <t>Ernie Clement</t>
  </si>
  <si>
    <t>Nico Hoerner</t>
  </si>
  <si>
    <t>Chandler Simpson</t>
  </si>
  <si>
    <t>Cam Smith</t>
  </si>
  <si>
    <t>Kyle Stowers</t>
  </si>
  <si>
    <t>Ryan O'Hearn</t>
  </si>
  <si>
    <t>Trent Grisham</t>
  </si>
  <si>
    <t>Nolan Schanuel</t>
  </si>
  <si>
    <t>Daulton Varsho</t>
  </si>
  <si>
    <t>Jake Burger</t>
  </si>
  <si>
    <t>Samuel Basallo</t>
  </si>
  <si>
    <t>Kyle Tucker</t>
  </si>
  <si>
    <t>Vladimir Guerrero Jr.</t>
  </si>
  <si>
    <t>Luke Keaschall</t>
  </si>
  <si>
    <t>Steven Kwan</t>
  </si>
  <si>
    <t>Jung Hoo Lee</t>
  </si>
  <si>
    <t>Bo Bichette</t>
  </si>
  <si>
    <t>Nasim Nuñez</t>
  </si>
  <si>
    <t>J.P. Crawford</t>
  </si>
  <si>
    <t>José Caballero</t>
  </si>
  <si>
    <t>Spencer Steer</t>
  </si>
  <si>
    <t>Jackson Merrill</t>
  </si>
  <si>
    <t>Daylen Lile</t>
  </si>
  <si>
    <t>Gavin Sheets</t>
  </si>
  <si>
    <t>Troy Johnston</t>
  </si>
  <si>
    <t>Jose Altuve</t>
  </si>
  <si>
    <t>Ildemaro Vargas</t>
  </si>
  <si>
    <t>Cedric Mullins</t>
  </si>
  <si>
    <t>Josh Bell</t>
  </si>
  <si>
    <t>Trea Turner</t>
  </si>
  <si>
    <t>Isaac Collins</t>
  </si>
  <si>
    <t>Jakob Marsee</t>
  </si>
  <si>
    <t>Josh Naylor</t>
  </si>
  <si>
    <t>Jarren Duran</t>
  </si>
  <si>
    <t>Willi Castro</t>
  </si>
  <si>
    <t>Willy Adames</t>
  </si>
  <si>
    <t>Matt McLain</t>
  </si>
  <si>
    <t>Jo Adell</t>
  </si>
  <si>
    <t>Austin Riley</t>
  </si>
  <si>
    <t>Spencer Torkelson</t>
  </si>
  <si>
    <t>Brett Baty</t>
  </si>
  <si>
    <t>Kyle Manzardo</t>
  </si>
  <si>
    <t>Sal Frelick</t>
  </si>
  <si>
    <t>Marcus Semien</t>
  </si>
  <si>
    <t>Alec Bohm</t>
  </si>
  <si>
    <t>Jorge Soler</t>
  </si>
  <si>
    <t>Ezequiel Tovar</t>
  </si>
  <si>
    <t>Salvador Perez</t>
  </si>
  <si>
    <t>xWOBA</t>
  </si>
  <si>
    <t>wOBA_Diff</t>
  </si>
  <si>
    <t>Trade Value</t>
  </si>
  <si>
    <t>wOBA:</t>
  </si>
  <si>
    <t>Select Player:</t>
  </si>
  <si>
    <t>xwOBA:</t>
  </si>
  <si>
    <t>wRC+:</t>
  </si>
  <si>
    <t>wOBA_Diff:</t>
  </si>
  <si>
    <t>Row Labels</t>
  </si>
  <si>
    <t>Buy-Low/Unlucky And Below Average Production</t>
  </si>
  <si>
    <t>Elite Player/Run Producer</t>
  </si>
  <si>
    <t>Solid Contributor</t>
  </si>
  <si>
    <t>Unlucky, Yet Above Average Production</t>
  </si>
  <si>
    <t>Grand Total</t>
  </si>
  <si>
    <t>Trade Value:</t>
  </si>
  <si>
    <t>Average of wOBA</t>
  </si>
  <si>
    <t>Average of xWOBA</t>
  </si>
  <si>
    <t>Average of wRC+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</si>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</sst>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5"/>
      <color theme="3"/>
      <name val="Calibri"/>
      <family val="2"/>
      <scheme val="minor"/>
    </font>
    <font>
      <b/>
      <i/>
      <u/>
      <sz val="16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ck">
        <color rgb="FF333333"/>
      </left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ck">
        <color rgb="FF333333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4" applyNumberFormat="0" applyFill="0" applyAlignment="0" applyProtection="0"/>
  </cellStyleXfs>
  <cellXfs count="19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/>
    </xf>
    <xf numFmtId="10" fontId="3" fillId="2" borderId="3" xfId="0" applyNumberFormat="1" applyFont="1" applyFill="1" applyBorder="1" applyAlignment="1">
      <alignment horizontal="right" vertical="center"/>
    </xf>
    <xf numFmtId="10" fontId="3" fillId="2" borderId="2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4" fillId="2" borderId="2" xfId="1" applyFont="1" applyFill="1" applyBorder="1" applyAlignment="1">
      <alignment horizontal="left" vertical="center"/>
    </xf>
    <xf numFmtId="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7" fillId="4" borderId="4" xfId="2" applyFont="1" applyFill="1" applyAlignment="1">
      <alignment horizontal="right"/>
    </xf>
    <xf numFmtId="0" fontId="7" fillId="4" borderId="4" xfId="2" applyFont="1" applyFill="1" applyAlignment="1">
      <alignment horizontal="center"/>
    </xf>
  </cellXfs>
  <cellStyles count="3">
    <cellStyle name="Heading 1" xfId="2" builtinId="16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 tint="-0.499984740745262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</dxf>
    <dxf>
      <alignment horizontal="center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[MLB_Analysis.xlsx]Trade_Board!PivotTable1</c:name>
    <c:fmtId val="1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Trade_Board!$K$1</c:f>
              <c:strCache>
                <c:ptCount val="1"/>
                <c:pt idx="0">
                  <c:v>Average of wOBA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Trade_Board!$J$2:$J$7</c:f>
              <c:strCache>
                <c:ptCount val="5"/>
                <c:pt idx="0">
                  <c:v>Buy-Low/Unlucky And Below Average Production</c:v>
                </c:pt>
                <c:pt idx="1">
                  <c:v>Elite Player/Run Producer</c:v>
                </c:pt>
                <c:pt idx="2">
                  <c:v>Solid Contributor</c:v>
                </c:pt>
                <c:pt idx="3">
                  <c:v>Unlucky, Yet Above Average Production</c:v>
                </c:pt>
                <c:pt idx="4">
                  <c:v>Unclassified</c:v>
                </c:pt>
              </c:strCache>
            </c:strRef>
          </c:cat>
          <c:val>
            <c:numRef>
              <c:f>Trade_Board!$K$2:$K$7</c:f>
              <c:numCache>
                <c:formatCode>0.000</c:formatCode>
                <c:ptCount val="5"/>
                <c:pt idx="0">
                  <c:v>0.28860714285714284</c:v>
                </c:pt>
                <c:pt idx="1">
                  <c:v>0.3836551724137931</c:v>
                </c:pt>
                <c:pt idx="2">
                  <c:v>0.33389361702127657</c:v>
                </c:pt>
                <c:pt idx="3">
                  <c:v>0.33300000000000002</c:v>
                </c:pt>
                <c:pt idx="4">
                  <c:v>0.32723076923076927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6-AF46-B941-4AB79E09DB5D}"/>
            </c:ext>
          </c:extLst>
        </c:ser>
        <c:ser>
          <c:idx val="1"/>
          <c:order val="1"/>
          <c:tx>
            <c:strRef>
              <c:f>Trade_Board!$L$1</c:f>
              <c:strCache>
                <c:ptCount val="1"/>
                <c:pt idx="0">
                  <c:v>Average of xWOBA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Trade_Board!$J$2:$J$7</c:f>
              <c:strCache>
                <c:ptCount val="5"/>
                <c:pt idx="0">
                  <c:v>Buy-Low/Unlucky And Below Average Production</c:v>
                </c:pt>
                <c:pt idx="1">
                  <c:v>Elite Player/Run Producer</c:v>
                </c:pt>
                <c:pt idx="2">
                  <c:v>Solid Contributor</c:v>
                </c:pt>
                <c:pt idx="3">
                  <c:v>Unlucky, Yet Above Average Production</c:v>
                </c:pt>
                <c:pt idx="4">
                  <c:v>Unclassified</c:v>
                </c:pt>
              </c:strCache>
            </c:strRef>
          </c:cat>
          <c:val>
            <c:numRef>
              <c:f>Trade_Board!$L$2:$L$7</c:f>
              <c:numCache>
                <c:formatCode>0.000</c:formatCode>
                <c:ptCount val="5"/>
                <c:pt idx="0">
                  <c:v>0.309</c:v>
                </c:pt>
                <c:pt idx="1">
                  <c:v>0.37917241379310351</c:v>
                </c:pt>
                <c:pt idx="2">
                  <c:v>0.31342553191489375</c:v>
                </c:pt>
                <c:pt idx="3">
                  <c:v>0.34975000000000006</c:v>
                </c:pt>
                <c:pt idx="4">
                  <c:v>0.31607692307692309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6-AF46-B941-4AB79E09D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871462623"/>
        <c:axId val="1920779600"/>
      </c:barChart>
      <c:lineChart>
        <c:grouping val="standard"/>
        <c:varyColors val="0"/>
        <c:ser>
          <c:idx val="2"/>
          <c:order val="2"/>
          <c:tx>
            <c:strRef>
              <c:f>Trade_Board!$M$1</c:f>
              <c:strCache>
                <c:ptCount val="1"/>
                <c:pt idx="0">
                  <c:v>Average of wRC+</c:v>
                </c:pt>
              </c:strCache>
            </c:strRef>
          </c:tx>
          <c:spPr>
            <a:ln w="34925" cap="rnd">
              <a:solidFill>
                <a:schemeClr val="accent5">
                  <a:tint val="6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Trade_Board!$J$2:$J$7</c:f>
              <c:strCache>
                <c:ptCount val="5"/>
                <c:pt idx="0">
                  <c:v>Buy-Low/Unlucky And Below Average Production</c:v>
                </c:pt>
                <c:pt idx="1">
                  <c:v>Elite Player/Run Producer</c:v>
                </c:pt>
                <c:pt idx="2">
                  <c:v>Solid Contributor</c:v>
                </c:pt>
                <c:pt idx="3">
                  <c:v>Unlucky, Yet Above Average Production</c:v>
                </c:pt>
                <c:pt idx="4">
                  <c:v>Unclassified</c:v>
                </c:pt>
              </c:strCache>
            </c:strRef>
          </c:cat>
          <c:val>
            <c:numRef>
              <c:f>Trade_Board!$M$2:$M$7</c:f>
              <c:numCache>
                <c:formatCode>0</c:formatCode>
                <c:ptCount val="5"/>
                <c:pt idx="0">
                  <c:v>80.785714285714292</c:v>
                </c:pt>
                <c:pt idx="1">
                  <c:v>145.37931034482759</c:v>
                </c:pt>
                <c:pt idx="2">
                  <c:v>109.97872340425532</c:v>
                </c:pt>
                <c:pt idx="3">
                  <c:v>111.9375</c:v>
                </c:pt>
                <c:pt idx="4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36-AF46-B941-4AB79E09D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588544"/>
        <c:axId val="821586112"/>
      </c:lineChart>
      <c:catAx>
        <c:axId val="187146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779600"/>
        <c:crosses val="autoZero"/>
        <c:auto val="1"/>
        <c:lblAlgn val="ctr"/>
        <c:lblOffset val="100"/>
        <c:noMultiLvlLbl val="0"/>
      </c:catAx>
      <c:valAx>
        <c:axId val="192077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462623"/>
        <c:crosses val="autoZero"/>
        <c:crossBetween val="between"/>
      </c:valAx>
      <c:valAx>
        <c:axId val="8215861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88544"/>
        <c:crosses val="max"/>
        <c:crossBetween val="between"/>
      </c:valAx>
      <c:catAx>
        <c:axId val="82158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1586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7</xdr:row>
      <xdr:rowOff>120650</xdr:rowOff>
    </xdr:from>
    <xdr:to>
      <xdr:col>13</xdr:col>
      <xdr:colOff>11651</xdr:colOff>
      <xdr:row>22</xdr:row>
      <xdr:rowOff>34954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C17D77-8BB7-8738-EE90-B56D787A7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 Anderson" refreshedDate="46221.987710532405" createdVersion="8" refreshedVersion="8" minRefreshableVersion="3" recordCount="149" xr:uid="{7982402B-D616-C04D-963F-7910A71E8459}">
  <cacheSource type="worksheet">
    <worksheetSource ref="A1:H150" sheet="Trade_Board"/>
  </cacheSource>
  <cacheFields count="8">
    <cacheField name="Name" numFmtId="0">
      <sharedItems/>
    </cacheField>
    <cacheField name="wOBA" numFmtId="0">
      <sharedItems containsSemiMixedTypes="0" containsString="0" containsNumber="1" minValue="0.251" maxValue="0.439"/>
    </cacheField>
    <cacheField name="xWOBA" numFmtId="0">
      <sharedItems containsSemiMixedTypes="0" containsString="0" containsNumber="1" minValue="0.26300000000000001" maxValue="0.47599999999999998"/>
    </cacheField>
    <cacheField name="wRC+" numFmtId="0">
      <sharedItems containsSemiMixedTypes="0" containsString="0" containsNumber="1" containsInteger="1" minValue="41" maxValue="186"/>
    </cacheField>
    <cacheField name="wOBA_Diff" numFmtId="0">
      <sharedItems containsSemiMixedTypes="0" containsString="0" containsNumber="1" minValue="-5.6999999999999995E-2" maxValue="5.099999999999999E-2"/>
    </cacheField>
    <cacheField name="Trade Value" numFmtId="0">
      <sharedItems count="6">
        <s v="Elite Player/Run Producer"/>
        <s v="Unlucky, Yet Above Average Production"/>
        <s v="Unclassified"/>
        <s v="Solid Contributor"/>
        <s v="Buy-Low/Unlucky And Below Average Production"/>
        <s v="" u="1"/>
      </sharedItems>
    </cacheField>
    <cacheField name="Select Player:" numFmtId="0">
      <sharedItems containsBlank="1"/>
    </cacheField>
    <cacheField name="Gunnar Henderson" numFmtId="0">
      <sharedItems containsBlank="1" containsMixedTypes="1" containsNumber="1" minValue="3.0000000000000027E-3" maxValue="113"/>
    </cacheField>
  </cacheFields>
  <extLst>
    <ext xmlns:x14="http://schemas.microsoft.com/office/spreadsheetml/2009/9/main" uri="{725AE2AE-9491-48be-B2B4-4EB974FC3084}">
      <x14:pivotCacheDefinition pivotCacheId="21348776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Pete Crow-Armstrong"/>
    <n v="0.39500000000000002"/>
    <n v="0.36299999999999999"/>
    <n v="153"/>
    <n v="-3.2000000000000028E-2"/>
    <x v="0"/>
    <s v="wOBA:"/>
    <n v="0.30499999999999999"/>
  </r>
  <r>
    <s v="Bobby Witt Jr."/>
    <n v="0.35299999999999998"/>
    <n v="0.38800000000000001"/>
    <n v="123"/>
    <n v="3.5000000000000031E-2"/>
    <x v="1"/>
    <s v="xwOBA:"/>
    <n v="0.308"/>
  </r>
  <r>
    <s v="James Wood"/>
    <n v="0.41599999999999998"/>
    <n v="0.433"/>
    <n v="166"/>
    <n v="1.7000000000000015E-2"/>
    <x v="0"/>
    <s v="wRC+:"/>
    <n v="113"/>
  </r>
  <r>
    <s v="Yordan Alvarez"/>
    <n v="0.439"/>
    <n v="0.47599999999999998"/>
    <n v="186"/>
    <n v="3.6999999999999977E-2"/>
    <x v="0"/>
    <s v="wOBA_Diff:"/>
    <n v="3.0000000000000027E-3"/>
  </r>
  <r>
    <s v="Otto Lopez"/>
    <n v="0.376"/>
    <n v="0.33900000000000002"/>
    <n v="137"/>
    <n v="-3.6999999999999977E-2"/>
    <x v="0"/>
    <s v="Trade Value:"/>
    <s v="Buy-Low/Unlucky And Below Average Production"/>
  </r>
  <r>
    <s v="Kevin McGonigle"/>
    <n v="0.36399999999999999"/>
    <n v="0.36599999999999999"/>
    <n v="133"/>
    <n v="2.0000000000000018E-3"/>
    <x v="0"/>
    <m/>
    <m/>
  </r>
  <r>
    <s v="Dillon Dingler"/>
    <n v="0.35599999999999998"/>
    <n v="0.38"/>
    <n v="128"/>
    <n v="2.4000000000000021E-2"/>
    <x v="2"/>
    <m/>
    <m/>
  </r>
  <r>
    <s v="Luis Arraez"/>
    <n v="0.35499999999999998"/>
    <n v="0.309"/>
    <n v="127"/>
    <n v="-4.5999999999999985E-2"/>
    <x v="2"/>
    <m/>
    <m/>
  </r>
  <r>
    <s v="JJ Wetherholt"/>
    <n v="0.33700000000000002"/>
    <n v="0.35299999999999998"/>
    <n v="114"/>
    <n v="1.5999999999999959E-2"/>
    <x v="1"/>
    <m/>
    <m/>
  </r>
  <r>
    <s v="Brice Turang"/>
    <n v="0.35799999999999998"/>
    <n v="0.34799999999999998"/>
    <n v="128"/>
    <n v="-1.0000000000000009E-2"/>
    <x v="2"/>
    <m/>
    <m/>
  </r>
  <r>
    <s v="Shohei Ohtani"/>
    <n v="0.40200000000000002"/>
    <n v="0.41099999999999998"/>
    <n v="157"/>
    <n v="8.9999999999999525E-3"/>
    <x v="0"/>
    <m/>
    <m/>
  </r>
  <r>
    <s v="Junior Caminero"/>
    <n v="0.39200000000000002"/>
    <n v="0.374"/>
    <n v="152"/>
    <n v="-1.8000000000000016E-2"/>
    <x v="0"/>
    <m/>
    <m/>
  </r>
  <r>
    <s v="Miguel Vargas"/>
    <n v="0.36599999999999999"/>
    <n v="0.40300000000000002"/>
    <n v="135"/>
    <n v="3.7000000000000033E-2"/>
    <x v="0"/>
    <m/>
    <m/>
  </r>
  <r>
    <s v="Ben Rice"/>
    <n v="0.40799999999999997"/>
    <n v="0.38200000000000001"/>
    <n v="166"/>
    <n v="-2.5999999999999968E-2"/>
    <x v="0"/>
    <m/>
    <m/>
  </r>
  <r>
    <s v="Elly De La Cruz"/>
    <n v="0.36299999999999999"/>
    <n v="0.36199999999999999"/>
    <n v="125"/>
    <n v="-1.0000000000000009E-3"/>
    <x v="3"/>
    <m/>
    <m/>
  </r>
  <r>
    <s v="Andy Pages"/>
    <n v="0.34799999999999998"/>
    <n v="0.34200000000000003"/>
    <n v="121"/>
    <n v="-5.9999999999999498E-3"/>
    <x v="3"/>
    <m/>
    <m/>
  </r>
  <r>
    <s v="Corbin Carroll"/>
    <n v="0.35599999999999998"/>
    <n v="0.34399999999999997"/>
    <n v="124"/>
    <n v="-1.2000000000000011E-2"/>
    <x v="3"/>
    <m/>
    <m/>
  </r>
  <r>
    <s v="Nick Kurtz"/>
    <n v="0.38900000000000001"/>
    <n v="0.38"/>
    <n v="148"/>
    <n v="-9.000000000000008E-3"/>
    <x v="0"/>
    <m/>
    <m/>
  </r>
  <r>
    <s v="Bryan Reynolds"/>
    <n v="0.38500000000000001"/>
    <n v="0.36699999999999999"/>
    <n v="143"/>
    <n v="-1.8000000000000016E-2"/>
    <x v="0"/>
    <m/>
    <m/>
  </r>
  <r>
    <s v="Juan Soto"/>
    <n v="0.40799999999999997"/>
    <n v="0.432"/>
    <n v="163"/>
    <n v="2.4000000000000021E-2"/>
    <x v="0"/>
    <m/>
    <m/>
  </r>
  <r>
    <s v="Brayan Rocchio"/>
    <n v="0.33200000000000002"/>
    <n v="0.30599999999999999"/>
    <n v="113"/>
    <n v="-2.6000000000000023E-2"/>
    <x v="3"/>
    <m/>
    <m/>
  </r>
  <r>
    <s v="Byron Buxton"/>
    <n v="0.38200000000000001"/>
    <n v="0.35099999999999998"/>
    <n v="145"/>
    <n v="-3.1000000000000028E-2"/>
    <x v="0"/>
    <m/>
    <m/>
  </r>
  <r>
    <s v="Max Muncy"/>
    <n v="0.36499999999999999"/>
    <n v="0.36099999999999999"/>
    <n v="132"/>
    <n v="-4.0000000000000036E-3"/>
    <x v="0"/>
    <m/>
    <m/>
  </r>
  <r>
    <s v="Ceddanne Rafaela"/>
    <n v="0.33300000000000002"/>
    <n v="0.28699999999999998"/>
    <n v="108"/>
    <n v="-4.6000000000000041E-2"/>
    <x v="3"/>
    <m/>
    <m/>
  </r>
  <r>
    <s v="Xavier Edwards"/>
    <n v="0.35499999999999998"/>
    <n v="0.32800000000000001"/>
    <n v="123"/>
    <n v="-2.6999999999999968E-2"/>
    <x v="3"/>
    <m/>
    <m/>
  </r>
  <r>
    <s v="Randy Arozarena"/>
    <n v="0.36899999999999999"/>
    <n v="0.35499999999999998"/>
    <n v="144"/>
    <n v="-1.4000000000000012E-2"/>
    <x v="0"/>
    <m/>
    <m/>
  </r>
  <r>
    <s v="Matt Olson"/>
    <n v="0.371"/>
    <n v="0.35899999999999999"/>
    <n v="135"/>
    <n v="-1.2000000000000011E-2"/>
    <x v="0"/>
    <m/>
    <m/>
  </r>
  <r>
    <s v="Willson Contreras"/>
    <n v="0.39500000000000002"/>
    <n v="0.39"/>
    <n v="151"/>
    <n v="-5.0000000000000044E-3"/>
    <x v="0"/>
    <m/>
    <m/>
  </r>
  <r>
    <s v="Freddie Freeman"/>
    <n v="0.375"/>
    <n v="0.38400000000000001"/>
    <n v="138"/>
    <n v="9.000000000000008E-3"/>
    <x v="0"/>
    <m/>
    <m/>
  </r>
  <r>
    <s v="Jordan Walker"/>
    <n v="0.38"/>
    <n v="0.374"/>
    <n v="143"/>
    <n v="-6.0000000000000053E-3"/>
    <x v="0"/>
    <m/>
    <m/>
  </r>
  <r>
    <s v="Josh Jung"/>
    <n v="0.36"/>
    <n v="0.34599999999999997"/>
    <n v="132"/>
    <n v="-1.4000000000000012E-2"/>
    <x v="0"/>
    <m/>
    <m/>
  </r>
  <r>
    <s v="Riley Greene"/>
    <n v="0.36799999999999999"/>
    <n v="0.36499999999999999"/>
    <n v="136"/>
    <n v="-3.0000000000000027E-3"/>
    <x v="0"/>
    <m/>
    <m/>
  </r>
  <r>
    <s v="Brandon Lowe"/>
    <n v="0.34399999999999997"/>
    <n v="0.34300000000000003"/>
    <n v="115"/>
    <n v="-9.9999999999994538E-4"/>
    <x v="3"/>
    <m/>
    <m/>
  </r>
  <r>
    <s v="Kyle Schwarber"/>
    <n v="0.39500000000000002"/>
    <n v="0.378"/>
    <n v="149"/>
    <n v="-1.7000000000000015E-2"/>
    <x v="0"/>
    <m/>
    <m/>
  </r>
  <r>
    <s v="Cody Bellinger"/>
    <n v="0.33700000000000002"/>
    <n v="0.34899999999999998"/>
    <n v="116"/>
    <n v="1.1999999999999955E-2"/>
    <x v="1"/>
    <m/>
    <m/>
  </r>
  <r>
    <s v="Yandy Díaz"/>
    <n v="0.38600000000000001"/>
    <n v="0.36499999999999999"/>
    <n v="148"/>
    <n v="-2.1000000000000019E-2"/>
    <x v="0"/>
    <m/>
    <m/>
  </r>
  <r>
    <s v="CJ Abrams"/>
    <n v="0.36899999999999999"/>
    <n v="0.34100000000000003"/>
    <n v="134"/>
    <n v="-2.7999999999999969E-2"/>
    <x v="0"/>
    <m/>
    <m/>
  </r>
  <r>
    <s v="Michael Harris II"/>
    <n v="0.35199999999999998"/>
    <n v="0.36499999999999999"/>
    <n v="122"/>
    <n v="1.3000000000000012E-2"/>
    <x v="1"/>
    <m/>
    <m/>
  </r>
  <r>
    <s v="Mike Trout"/>
    <n v="0.374"/>
    <n v="0.41"/>
    <n v="139"/>
    <n v="3.5999999999999976E-2"/>
    <x v="0"/>
    <m/>
    <m/>
  </r>
  <r>
    <s v="Jonathan Aranda"/>
    <n v="0.376"/>
    <n v="0.372"/>
    <n v="141"/>
    <n v="-4.0000000000000036E-3"/>
    <x v="0"/>
    <m/>
    <m/>
  </r>
  <r>
    <s v="Ezequiel Duran"/>
    <n v="0.33100000000000002"/>
    <n v="0.30599999999999999"/>
    <n v="112"/>
    <n v="-2.5000000000000022E-2"/>
    <x v="3"/>
    <m/>
    <m/>
  </r>
  <r>
    <s v="Colson Montgomery"/>
    <n v="0.33100000000000002"/>
    <n v="0.32400000000000001"/>
    <n v="111"/>
    <n v="-7.0000000000000062E-3"/>
    <x v="3"/>
    <m/>
    <m/>
  </r>
  <r>
    <s v="Dansby Swanson"/>
    <n v="0.308"/>
    <n v="0.29899999999999999"/>
    <n v="95"/>
    <n v="-9.000000000000008E-3"/>
    <x v="3"/>
    <m/>
    <m/>
  </r>
  <r>
    <s v="Pete Alonso"/>
    <n v="0.35499999999999998"/>
    <n v="0.379"/>
    <n v="129"/>
    <n v="2.4000000000000021E-2"/>
    <x v="2"/>
    <m/>
    <m/>
  </r>
  <r>
    <s v="José Ramírez"/>
    <n v="0.32800000000000001"/>
    <n v="0.35499999999999998"/>
    <n v="110"/>
    <n v="2.6999999999999968E-2"/>
    <x v="1"/>
    <m/>
    <m/>
  </r>
  <r>
    <s v="Kazuma Okamoto"/>
    <n v="0.34200000000000003"/>
    <n v="0.32600000000000001"/>
    <n v="119"/>
    <n v="-1.6000000000000014E-2"/>
    <x v="3"/>
    <m/>
    <m/>
  </r>
  <r>
    <s v="Shea Langeliers"/>
    <n v="0.34699999999999998"/>
    <n v="0.35699999999999998"/>
    <n v="120"/>
    <n v="1.0000000000000009E-2"/>
    <x v="1"/>
    <m/>
    <m/>
  </r>
  <r>
    <s v="Jazz Chisholm Jr."/>
    <n v="0.30599999999999999"/>
    <n v="0.28999999999999998"/>
    <n v="95"/>
    <n v="-1.6000000000000014E-2"/>
    <x v="3"/>
    <m/>
    <m/>
  </r>
  <r>
    <s v="Isaac Paredes"/>
    <n v="0.34"/>
    <n v="0.316"/>
    <n v="118"/>
    <n v="-2.4000000000000021E-2"/>
    <x v="3"/>
    <m/>
    <m/>
  </r>
  <r>
    <s v="Mauricio Dubón"/>
    <n v="0.32400000000000001"/>
    <n v="0.31900000000000001"/>
    <n v="103"/>
    <n v="-5.0000000000000044E-3"/>
    <x v="3"/>
    <m/>
    <m/>
  </r>
  <r>
    <s v="Geraldo Perdomo"/>
    <n v="0.32200000000000001"/>
    <n v="0.32800000000000001"/>
    <n v="101"/>
    <n v="6.0000000000000053E-3"/>
    <x v="1"/>
    <m/>
    <m/>
  </r>
  <r>
    <s v="Hunter Goodman"/>
    <n v="0.36599999999999999"/>
    <n v="0.33400000000000002"/>
    <n v="118"/>
    <n v="-3.1999999999999973E-2"/>
    <x v="3"/>
    <m/>
    <m/>
  </r>
  <r>
    <s v="Zach Neto"/>
    <n v="0.33900000000000002"/>
    <n v="0.313"/>
    <n v="116"/>
    <n v="-2.6000000000000023E-2"/>
    <x v="3"/>
    <m/>
    <m/>
  </r>
  <r>
    <s v="Jake Bauers"/>
    <n v="0.38"/>
    <n v="0.36399999999999999"/>
    <n v="142"/>
    <n v="-1.6000000000000014E-2"/>
    <x v="0"/>
    <m/>
    <m/>
  </r>
  <r>
    <s v="Garrett Mitchell"/>
    <n v="0.35899999999999999"/>
    <n v="0.35599999999999998"/>
    <n v="128"/>
    <n v="-3.0000000000000027E-3"/>
    <x v="2"/>
    <m/>
    <m/>
  </r>
  <r>
    <s v="Wilyer Abreu"/>
    <n v="0.33100000000000002"/>
    <n v="0.33900000000000002"/>
    <n v="107"/>
    <n v="8.0000000000000071E-3"/>
    <x v="1"/>
    <m/>
    <m/>
  </r>
  <r>
    <s v="Gunnar Henderson"/>
    <n v="0.30499999999999999"/>
    <n v="0.308"/>
    <n v="95"/>
    <n v="3.0000000000000027E-3"/>
    <x v="4"/>
    <m/>
    <m/>
  </r>
  <r>
    <s v="Seiya Suzuki"/>
    <n v="0.35"/>
    <n v="0.33100000000000002"/>
    <n v="123"/>
    <n v="-1.8999999999999961E-2"/>
    <x v="3"/>
    <m/>
    <m/>
  </r>
  <r>
    <s v="Nick Gonzales"/>
    <n v="0.34"/>
    <n v="0.32800000000000001"/>
    <n v="113"/>
    <n v="-1.2000000000000011E-2"/>
    <x v="3"/>
    <m/>
    <m/>
  </r>
  <r>
    <s v="Julio Rodríguez"/>
    <n v="0.32700000000000001"/>
    <n v="0.35"/>
    <n v="115"/>
    <n v="2.2999999999999965E-2"/>
    <x v="1"/>
    <m/>
    <m/>
  </r>
  <r>
    <s v="Casey Schmitt"/>
    <n v="0.34499999999999997"/>
    <n v="0.36099999999999999"/>
    <n v="120"/>
    <n v="1.6000000000000014E-2"/>
    <x v="1"/>
    <m/>
    <m/>
  </r>
  <r>
    <s v="Ketel Marte"/>
    <n v="0.33200000000000002"/>
    <n v="0.36399999999999999"/>
    <n v="108"/>
    <n v="3.1999999999999973E-2"/>
    <x v="1"/>
    <m/>
    <m/>
  </r>
  <r>
    <s v="Luis García Jr."/>
    <n v="0.37"/>
    <n v="0.36099999999999999"/>
    <n v="135"/>
    <n v="-9.000000000000008E-3"/>
    <x v="0"/>
    <m/>
    <m/>
  </r>
  <r>
    <s v="Fernando Tatis Jr."/>
    <n v="0.316"/>
    <n v="0.34599999999999997"/>
    <n v="102"/>
    <n v="2.9999999999999971E-2"/>
    <x v="1"/>
    <m/>
    <m/>
  </r>
  <r>
    <s v="Michael Busch"/>
    <n v="0.34200000000000003"/>
    <n v="0.34699999999999998"/>
    <n v="118"/>
    <n v="4.9999999999999489E-3"/>
    <x v="1"/>
    <m/>
    <m/>
  </r>
  <r>
    <s v="Chase Meidroth"/>
    <n v="0.32200000000000001"/>
    <n v="0.28999999999999998"/>
    <n v="104"/>
    <n v="-3.2000000000000028E-2"/>
    <x v="3"/>
    <m/>
    <m/>
  </r>
  <r>
    <s v="Kyle Karros"/>
    <n v="0.34899999999999998"/>
    <n v="0.34499999999999997"/>
    <n v="107"/>
    <n v="-4.0000000000000036E-3"/>
    <x v="3"/>
    <m/>
    <m/>
  </r>
  <r>
    <s v="TJ Rumfield"/>
    <n v="0.374"/>
    <n v="0.32300000000000001"/>
    <n v="124"/>
    <n v="-5.099999999999999E-2"/>
    <x v="3"/>
    <m/>
    <m/>
  </r>
  <r>
    <s v="Alec Burleson"/>
    <n v="0.34699999999999998"/>
    <n v="0.38100000000000001"/>
    <n v="122"/>
    <n v="3.400000000000003E-2"/>
    <x v="1"/>
    <m/>
    <m/>
  </r>
  <r>
    <s v="Sal Stewart"/>
    <n v="0.34899999999999998"/>
    <n v="0.35099999999999998"/>
    <n v="116"/>
    <n v="2.0000000000000018E-3"/>
    <x v="1"/>
    <m/>
    <m/>
  </r>
  <r>
    <s v="Alex Bregman"/>
    <n v="0.312"/>
    <n v="0.311"/>
    <n v="97"/>
    <n v="-1.0000000000000009E-3"/>
    <x v="3"/>
    <m/>
    <m/>
  </r>
  <r>
    <s v="Liam Hicks"/>
    <n v="0.35699999999999998"/>
    <n v="0.309"/>
    <n v="125"/>
    <n v="-4.7999999999999987E-2"/>
    <x v="3"/>
    <m/>
    <m/>
  </r>
  <r>
    <s v="Chase DeLauter"/>
    <n v="0.34699999999999998"/>
    <n v="0.34200000000000003"/>
    <n v="123"/>
    <n v="-4.9999999999999489E-3"/>
    <x v="3"/>
    <m/>
    <m/>
  </r>
  <r>
    <s v="Bryce Harper"/>
    <n v="0.371"/>
    <n v="0.39400000000000002"/>
    <n v="133"/>
    <n v="2.300000000000002E-2"/>
    <x v="0"/>
    <m/>
    <m/>
  </r>
  <r>
    <s v="Cole Young"/>
    <n v="0.312"/>
    <n v="0.33"/>
    <n v="104"/>
    <n v="1.8000000000000016E-2"/>
    <x v="1"/>
    <m/>
    <m/>
  </r>
  <r>
    <s v="Ian Happ"/>
    <n v="0.33100000000000002"/>
    <n v="0.32100000000000001"/>
    <n v="110"/>
    <n v="-1.0000000000000009E-2"/>
    <x v="3"/>
    <m/>
    <m/>
  </r>
  <r>
    <s v="Ozzie Albies"/>
    <n v="0.32700000000000001"/>
    <n v="0.29099999999999998"/>
    <n v="105"/>
    <n v="-3.6000000000000032E-2"/>
    <x v="3"/>
    <m/>
    <m/>
  </r>
  <r>
    <s v="Jake McCarthy"/>
    <n v="0.36899999999999999"/>
    <n v="0.312"/>
    <n v="121"/>
    <n v="-5.6999999999999995E-2"/>
    <x v="3"/>
    <m/>
    <m/>
  </r>
  <r>
    <s v="Carson Benge"/>
    <n v="0.32200000000000001"/>
    <n v="0.35199999999999998"/>
    <n v="106"/>
    <n v="2.9999999999999971E-2"/>
    <x v="1"/>
    <m/>
    <m/>
  </r>
  <r>
    <s v="Xander Bogaerts"/>
    <n v="0.29399999999999998"/>
    <n v="0.314"/>
    <n v="87"/>
    <n v="2.0000000000000018E-2"/>
    <x v="4"/>
    <m/>
    <m/>
  </r>
  <r>
    <s v="William Contreras"/>
    <n v="0.32400000000000001"/>
    <n v="0.33700000000000002"/>
    <n v="105"/>
    <n v="1.3000000000000012E-2"/>
    <x v="1"/>
    <m/>
    <m/>
  </r>
  <r>
    <s v="Taylor Ward"/>
    <n v="0.34100000000000003"/>
    <n v="0.34599999999999997"/>
    <n v="120"/>
    <n v="4.9999999999999489E-3"/>
    <x v="1"/>
    <m/>
    <m/>
  </r>
  <r>
    <s v="Brandon Marsh"/>
    <n v="0.35599999999999998"/>
    <n v="0.32400000000000001"/>
    <n v="123"/>
    <n v="-3.1999999999999973E-2"/>
    <x v="3"/>
    <m/>
    <m/>
  </r>
  <r>
    <s v="Kody Clemens"/>
    <n v="0.33600000000000002"/>
    <n v="0.33900000000000002"/>
    <n v="114"/>
    <n v="3.0000000000000027E-3"/>
    <x v="1"/>
    <m/>
    <m/>
  </r>
  <r>
    <s v="Christian Walker"/>
    <n v="0.33500000000000002"/>
    <n v="0.30399999999999999"/>
    <n v="114"/>
    <n v="-3.1000000000000028E-2"/>
    <x v="3"/>
    <m/>
    <m/>
  </r>
  <r>
    <s v="Iván Herrera"/>
    <n v="0.34699999999999998"/>
    <n v="0.34799999999999998"/>
    <n v="121"/>
    <n v="1.0000000000000009E-3"/>
    <x v="1"/>
    <m/>
    <m/>
  </r>
  <r>
    <s v="Bryson Stott"/>
    <n v="0.308"/>
    <n v="0.32"/>
    <n v="91"/>
    <n v="1.2000000000000011E-2"/>
    <x v="4"/>
    <m/>
    <m/>
  </r>
  <r>
    <s v="Tyler Soderstrom"/>
    <n v="0.34799999999999998"/>
    <n v="0.34300000000000003"/>
    <n v="120"/>
    <n v="-4.9999999999999489E-3"/>
    <x v="3"/>
    <m/>
    <m/>
  </r>
  <r>
    <s v="Andrés Giménez"/>
    <n v="0.28100000000000003"/>
    <n v="0.26500000000000001"/>
    <n v="77"/>
    <n v="-1.6000000000000014E-2"/>
    <x v="2"/>
    <m/>
    <m/>
  </r>
  <r>
    <s v="Sam Antonacci"/>
    <n v="0.35799999999999998"/>
    <n v="0.36499999999999999"/>
    <n v="129"/>
    <n v="7.0000000000000062E-3"/>
    <x v="2"/>
    <m/>
    <m/>
  </r>
  <r>
    <s v="Jac Caglianone"/>
    <n v="0.33900000000000002"/>
    <n v="0.35799999999999998"/>
    <n v="114"/>
    <n v="1.8999999999999961E-2"/>
    <x v="1"/>
    <m/>
    <m/>
  </r>
  <r>
    <s v="Nolan Arenado"/>
    <n v="0.31900000000000001"/>
    <n v="0.29399999999999998"/>
    <n v="100"/>
    <n v="-2.5000000000000022E-2"/>
    <x v="3"/>
    <m/>
    <m/>
  </r>
  <r>
    <s v="Masyn Winn"/>
    <n v="0.28999999999999998"/>
    <n v="0.29599999999999999"/>
    <n v="83"/>
    <n v="6.0000000000000053E-3"/>
    <x v="4"/>
    <m/>
    <m/>
  </r>
  <r>
    <s v="Carter Jensen"/>
    <n v="0.314"/>
    <n v="0.28799999999999998"/>
    <n v="96"/>
    <n v="-2.6000000000000023E-2"/>
    <x v="3"/>
    <m/>
    <m/>
  </r>
  <r>
    <s v="Caleb Durbin"/>
    <n v="0.30099999999999999"/>
    <n v="0.28699999999999998"/>
    <n v="86"/>
    <n v="-1.4000000000000012E-2"/>
    <x v="2"/>
    <m/>
    <m/>
  </r>
  <r>
    <s v="Drake Baldwin"/>
    <n v="0.34399999999999997"/>
    <n v="0.373"/>
    <n v="117"/>
    <n v="2.9000000000000026E-2"/>
    <x v="1"/>
    <m/>
    <m/>
  </r>
  <r>
    <s v="Manny Machado"/>
    <n v="0.30499999999999999"/>
    <n v="0.317"/>
    <n v="95"/>
    <n v="1.2000000000000011E-2"/>
    <x v="4"/>
    <m/>
    <m/>
  </r>
  <r>
    <s v="Brooks Lee"/>
    <n v="0.32200000000000001"/>
    <n v="0.27800000000000002"/>
    <n v="104"/>
    <n v="-4.3999999999999984E-2"/>
    <x v="3"/>
    <m/>
    <m/>
  </r>
  <r>
    <s v="Matt Chapman"/>
    <n v="0.309"/>
    <n v="0.28599999999999998"/>
    <n v="96"/>
    <n v="-2.300000000000002E-2"/>
    <x v="3"/>
    <m/>
    <m/>
  </r>
  <r>
    <s v="Brandon Nimmo"/>
    <n v="0.33"/>
    <n v="0.38100000000000001"/>
    <n v="112"/>
    <n v="5.099999999999999E-2"/>
    <x v="1"/>
    <m/>
    <m/>
  </r>
  <r>
    <s v="Rafael Devers"/>
    <n v="0.34200000000000003"/>
    <n v="0.32700000000000001"/>
    <n v="118"/>
    <n v="-1.5000000000000013E-2"/>
    <x v="3"/>
    <m/>
    <m/>
  </r>
  <r>
    <s v="Ernie Clement"/>
    <n v="0.32600000000000001"/>
    <n v="0.27500000000000002"/>
    <n v="108"/>
    <n v="-5.099999999999999E-2"/>
    <x v="3"/>
    <m/>
    <m/>
  </r>
  <r>
    <s v="Nico Hoerner"/>
    <n v="0.28399999999999997"/>
    <n v="0.31900000000000001"/>
    <n v="79"/>
    <n v="3.5000000000000031E-2"/>
    <x v="4"/>
    <m/>
    <m/>
  </r>
  <r>
    <s v="Chandler Simpson"/>
    <n v="0.28999999999999998"/>
    <n v="0.26300000000000001"/>
    <n v="82"/>
    <n v="-2.6999999999999968E-2"/>
    <x v="2"/>
    <m/>
    <m/>
  </r>
  <r>
    <s v="Cam Smith"/>
    <n v="0.29499999999999998"/>
    <n v="0.34"/>
    <n v="87"/>
    <n v="4.500000000000004E-2"/>
    <x v="4"/>
    <m/>
    <m/>
  </r>
  <r>
    <s v="Kyle Stowers"/>
    <n v="0.33600000000000002"/>
    <n v="0.33200000000000002"/>
    <n v="110"/>
    <n v="-4.0000000000000036E-3"/>
    <x v="3"/>
    <m/>
    <m/>
  </r>
  <r>
    <s v="Ryan O'Hearn"/>
    <n v="0.36299999999999999"/>
    <n v="0.32900000000000001"/>
    <n v="128"/>
    <n v="-3.3999999999999975E-2"/>
    <x v="2"/>
    <m/>
    <m/>
  </r>
  <r>
    <s v="Trent Grisham"/>
    <n v="0.33300000000000002"/>
    <n v="0.35699999999999998"/>
    <n v="114"/>
    <n v="2.3999999999999966E-2"/>
    <x v="1"/>
    <m/>
    <m/>
  </r>
  <r>
    <s v="Nolan Schanuel"/>
    <n v="0.32900000000000001"/>
    <n v="0.32600000000000001"/>
    <n v="109"/>
    <n v="-3.0000000000000027E-3"/>
    <x v="3"/>
    <m/>
    <m/>
  </r>
  <r>
    <s v="Daulton Varsho"/>
    <n v="0.30499999999999999"/>
    <n v="0.29499999999999998"/>
    <n v="94"/>
    <n v="-1.0000000000000009E-2"/>
    <x v="3"/>
    <m/>
    <m/>
  </r>
  <r>
    <s v="Jake Burger"/>
    <n v="0.318"/>
    <n v="0.31"/>
    <n v="103"/>
    <n v="-8.0000000000000071E-3"/>
    <x v="3"/>
    <m/>
    <m/>
  </r>
  <r>
    <s v="Samuel Basallo"/>
    <n v="0.33100000000000002"/>
    <n v="0.34"/>
    <n v="113"/>
    <n v="9.000000000000008E-3"/>
    <x v="1"/>
    <m/>
    <m/>
  </r>
  <r>
    <s v="Kyle Tucker"/>
    <n v="0.32100000000000001"/>
    <n v="0.33600000000000002"/>
    <n v="102"/>
    <n v="1.5000000000000013E-2"/>
    <x v="1"/>
    <m/>
    <m/>
  </r>
  <r>
    <s v="Vladimir Guerrero Jr."/>
    <n v="0.312"/>
    <n v="0.34399999999999997"/>
    <n v="99"/>
    <n v="3.1999999999999973E-2"/>
    <x v="4"/>
    <m/>
    <m/>
  </r>
  <r>
    <s v="Luke Keaschall"/>
    <n v="0.314"/>
    <n v="0.29699999999999999"/>
    <n v="99"/>
    <n v="-1.7000000000000015E-2"/>
    <x v="3"/>
    <m/>
    <m/>
  </r>
  <r>
    <s v="Steven Kwan"/>
    <n v="0.28599999999999998"/>
    <n v="0.307"/>
    <n v="81"/>
    <n v="2.1000000000000019E-2"/>
    <x v="4"/>
    <m/>
    <m/>
  </r>
  <r>
    <s v="Jung Hoo Lee"/>
    <n v="0.33200000000000002"/>
    <n v="0.313"/>
    <n v="112"/>
    <n v="-1.9000000000000017E-2"/>
    <x v="3"/>
    <m/>
    <m/>
  </r>
  <r>
    <s v="Bo Bichette"/>
    <n v="0.29699999999999999"/>
    <n v="0.33"/>
    <n v="89"/>
    <n v="3.3000000000000029E-2"/>
    <x v="4"/>
    <m/>
    <m/>
  </r>
  <r>
    <s v="Nasim Nuñez"/>
    <n v="0.28499999999999998"/>
    <n v="0.26900000000000002"/>
    <n v="78"/>
    <n v="-1.5999999999999959E-2"/>
    <x v="2"/>
    <m/>
    <m/>
  </r>
  <r>
    <s v="J.P. Crawford"/>
    <n v="0.315"/>
    <n v="0.32900000000000001"/>
    <n v="107"/>
    <n v="1.4000000000000012E-2"/>
    <x v="1"/>
    <m/>
    <m/>
  </r>
  <r>
    <s v="José Caballero"/>
    <n v="0.30599999999999999"/>
    <n v="0.27100000000000002"/>
    <n v="95"/>
    <n v="-3.4999999999999976E-2"/>
    <x v="3"/>
    <m/>
    <m/>
  </r>
  <r>
    <s v="Spencer Steer"/>
    <n v="0.33"/>
    <n v="0.34499999999999997"/>
    <n v="103"/>
    <n v="1.4999999999999958E-2"/>
    <x v="1"/>
    <m/>
    <m/>
  </r>
  <r>
    <s v="Jackson Merrill"/>
    <n v="0.27600000000000002"/>
    <n v="0.308"/>
    <n v="76"/>
    <n v="3.1999999999999973E-2"/>
    <x v="4"/>
    <m/>
    <m/>
  </r>
  <r>
    <s v="Daylen Lile"/>
    <n v="0.30399999999999999"/>
    <n v="0.314"/>
    <n v="90"/>
    <n v="1.0000000000000009E-2"/>
    <x v="4"/>
    <m/>
    <m/>
  </r>
  <r>
    <s v="Gavin Sheets"/>
    <n v="0.33"/>
    <n v="0.33300000000000002"/>
    <n v="112"/>
    <n v="3.0000000000000027E-3"/>
    <x v="1"/>
    <m/>
    <m/>
  </r>
  <r>
    <s v="Troy Johnston"/>
    <n v="0.35099999999999998"/>
    <n v="0.33100000000000002"/>
    <n v="108"/>
    <n v="-1.9999999999999962E-2"/>
    <x v="3"/>
    <m/>
    <m/>
  </r>
  <r>
    <s v="Jose Altuve"/>
    <n v="0.311"/>
    <n v="0.28799999999999998"/>
    <n v="98"/>
    <n v="-2.300000000000002E-2"/>
    <x v="3"/>
    <m/>
    <m/>
  </r>
  <r>
    <s v="Ildemaro Vargas"/>
    <n v="0.30299999999999999"/>
    <n v="0.31"/>
    <n v="88"/>
    <n v="7.0000000000000062E-3"/>
    <x v="4"/>
    <m/>
    <m/>
  </r>
  <r>
    <s v="Cedric Mullins"/>
    <n v="0.27600000000000002"/>
    <n v="0.26500000000000001"/>
    <n v="73"/>
    <n v="-1.100000000000001E-2"/>
    <x v="2"/>
    <m/>
    <m/>
  </r>
  <r>
    <s v="Josh Bell"/>
    <n v="0.32"/>
    <n v="0.33200000000000002"/>
    <n v="103"/>
    <n v="1.2000000000000011E-2"/>
    <x v="1"/>
    <m/>
    <m/>
  </r>
  <r>
    <s v="Trea Turner"/>
    <n v="0.28299999999999997"/>
    <n v="0.28899999999999998"/>
    <n v="74"/>
    <n v="6.0000000000000053E-3"/>
    <x v="4"/>
    <m/>
    <m/>
  </r>
  <r>
    <s v="Isaac Collins"/>
    <n v="0.32"/>
    <n v="0.316"/>
    <n v="101"/>
    <n v="-4.0000000000000036E-3"/>
    <x v="3"/>
    <m/>
    <m/>
  </r>
  <r>
    <s v="Jakob Marsee"/>
    <n v="0.28699999999999998"/>
    <n v="0.30499999999999999"/>
    <n v="77"/>
    <n v="1.8000000000000016E-2"/>
    <x v="4"/>
    <m/>
    <m/>
  </r>
  <r>
    <s v="Josh Naylor"/>
    <n v="0.29899999999999999"/>
    <n v="0.31900000000000001"/>
    <n v="95"/>
    <n v="2.0000000000000018E-2"/>
    <x v="4"/>
    <m/>
    <m/>
  </r>
  <r>
    <s v="Jarren Duran"/>
    <n v="0.26800000000000002"/>
    <n v="0.29599999999999999"/>
    <n v="64"/>
    <n v="2.7999999999999969E-2"/>
    <x v="4"/>
    <m/>
    <m/>
  </r>
  <r>
    <s v="Willi Castro"/>
    <n v="0.317"/>
    <n v="0.29399999999999998"/>
    <n v="85"/>
    <n v="-2.300000000000002E-2"/>
    <x v="2"/>
    <m/>
    <m/>
  </r>
  <r>
    <s v="Willy Adames"/>
    <n v="0.30399999999999999"/>
    <n v="0.29099999999999998"/>
    <n v="93"/>
    <n v="-1.3000000000000012E-2"/>
    <x v="3"/>
    <m/>
    <m/>
  </r>
  <r>
    <s v="Matt McLain"/>
    <n v="0.28299999999999997"/>
    <n v="0.317"/>
    <n v="71"/>
    <n v="3.400000000000003E-2"/>
    <x v="4"/>
    <m/>
    <m/>
  </r>
  <r>
    <s v="Jo Adell"/>
    <n v="0.30099999999999999"/>
    <n v="0.32400000000000001"/>
    <n v="89"/>
    <n v="2.300000000000002E-2"/>
    <x v="4"/>
    <m/>
    <m/>
  </r>
  <r>
    <s v="Austin Riley"/>
    <n v="0.27900000000000003"/>
    <n v="0.28699999999999998"/>
    <n v="73"/>
    <n v="7.9999999999999516E-3"/>
    <x v="4"/>
    <m/>
    <m/>
  </r>
  <r>
    <s v="Spencer Torkelson"/>
    <n v="0.316"/>
    <n v="0.32200000000000001"/>
    <n v="101"/>
    <n v="6.0000000000000053E-3"/>
    <x v="1"/>
    <m/>
    <m/>
  </r>
  <r>
    <s v="Brett Baty"/>
    <n v="0.27600000000000002"/>
    <n v="0.309"/>
    <n v="75"/>
    <n v="3.2999999999999974E-2"/>
    <x v="4"/>
    <m/>
    <m/>
  </r>
  <r>
    <s v="Kyle Manzardo"/>
    <n v="0.3"/>
    <n v="0.307"/>
    <n v="91"/>
    <n v="7.0000000000000062E-3"/>
    <x v="4"/>
    <m/>
    <m/>
  </r>
  <r>
    <s v="Sal Frelick"/>
    <n v="0.28199999999999997"/>
    <n v="0.28599999999999998"/>
    <n v="77"/>
    <n v="4.0000000000000036E-3"/>
    <x v="4"/>
    <m/>
    <m/>
  </r>
  <r>
    <s v="Marcus Semien"/>
    <n v="0.27100000000000002"/>
    <n v="0.316"/>
    <n v="72"/>
    <n v="4.4999999999999984E-2"/>
    <x v="4"/>
    <m/>
    <m/>
  </r>
  <r>
    <s v="Alec Bohm"/>
    <n v="0.28000000000000003"/>
    <n v="0.3"/>
    <n v="73"/>
    <n v="1.9999999999999962E-2"/>
    <x v="4"/>
    <m/>
    <m/>
  </r>
  <r>
    <s v="Jorge Soler"/>
    <n v="0.30399999999999999"/>
    <n v="0.307"/>
    <n v="92"/>
    <n v="3.0000000000000027E-3"/>
    <x v="4"/>
    <m/>
    <m/>
  </r>
  <r>
    <s v="Ezequiel Tovar"/>
    <n v="0.251"/>
    <n v="0.27600000000000002"/>
    <n v="41"/>
    <n v="2.5000000000000022E-2"/>
    <x v="4"/>
    <m/>
    <m/>
  </r>
  <r>
    <s v="Salvador Perez"/>
    <n v="0.25800000000000001"/>
    <n v="0.28699999999999998"/>
    <n v="58"/>
    <n v="2.899999999999997E-2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0521D-B289-1440-9C79-5AF9493D81F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J1:M7" firstHeaderRow="0" firstDataRow="1" firstDataCol="1"/>
  <pivotFields count="8">
    <pivotField showAll="0"/>
    <pivotField dataField="1" showAll="0"/>
    <pivotField dataField="1" showAll="0"/>
    <pivotField dataField="1" showAll="0"/>
    <pivotField showAll="0"/>
    <pivotField axis="axisRow" showAll="0">
      <items count="7">
        <item m="1" x="5"/>
        <item x="4"/>
        <item x="0"/>
        <item x="3"/>
        <item x="1"/>
        <item x="2"/>
        <item t="default"/>
      </items>
    </pivotField>
    <pivotField showAll="0"/>
    <pivotField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wOBA" fld="1" subtotal="average" baseField="0" baseItem="0"/>
    <dataField name="Average of xWOBA" fld="2" subtotal="average" baseField="0" baseItem="0"/>
    <dataField name="Average of wRC+" fld="3" subtotal="average" baseField="0" baseItem="0" numFmtId="1"/>
  </dataFields>
  <formats count="3"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nick-gonzales/27490/stats?position=2B" TargetMode="External"/><Relationship Id="rId21" Type="http://schemas.openxmlformats.org/officeDocument/2006/relationships/hyperlink" Target="https://www.fangraphs.com/players/shohei-ohtani/19755/stats?position=DH" TargetMode="External"/><Relationship Id="rId63" Type="http://schemas.openxmlformats.org/officeDocument/2006/relationships/hyperlink" Target="https://www.fangraphs.com/players/riley-greene/25976/stats?position=OF" TargetMode="External"/><Relationship Id="rId159" Type="http://schemas.openxmlformats.org/officeDocument/2006/relationships/hyperlink" Target="https://www.fangraphs.com/players/xander-bogaerts/12161/stats?position=SS" TargetMode="External"/><Relationship Id="rId170" Type="http://schemas.openxmlformats.org/officeDocument/2006/relationships/hyperlink" Target="https://www.fangraphs.com/leaders/major-league?pageitems=2000000000&amp;team=21" TargetMode="External"/><Relationship Id="rId226" Type="http://schemas.openxmlformats.org/officeDocument/2006/relationships/hyperlink" Target="https://www.fangraphs.com/leaders/major-league?pageitems=2000000000&amp;team=22" TargetMode="External"/><Relationship Id="rId268" Type="http://schemas.openxmlformats.org/officeDocument/2006/relationships/hyperlink" Target="https://www.fangraphs.com/leaders/major-league?pageitems=2000000000&amp;team=11" TargetMode="External"/><Relationship Id="rId32" Type="http://schemas.openxmlformats.org/officeDocument/2006/relationships/hyperlink" Target="https://www.fangraphs.com/leaders/major-league?pageitems=2000000000&amp;team=22" TargetMode="External"/><Relationship Id="rId74" Type="http://schemas.openxmlformats.org/officeDocument/2006/relationships/hyperlink" Target="https://www.fangraphs.com/leaders/major-league?pageitems=2000000000&amp;team=24" TargetMode="External"/><Relationship Id="rId128" Type="http://schemas.openxmlformats.org/officeDocument/2006/relationships/hyperlink" Target="https://www.fangraphs.com/leaders/major-league?pageitems=2000000000&amp;team=29" TargetMode="External"/><Relationship Id="rId5" Type="http://schemas.openxmlformats.org/officeDocument/2006/relationships/hyperlink" Target="https://www.fangraphs.com/players/james-wood/29518/stats?position=OF" TargetMode="External"/><Relationship Id="rId181" Type="http://schemas.openxmlformats.org/officeDocument/2006/relationships/hyperlink" Target="https://www.fangraphs.com/players/jac-caglianone/35041/stats?position=OF" TargetMode="External"/><Relationship Id="rId237" Type="http://schemas.openxmlformats.org/officeDocument/2006/relationships/hyperlink" Target="https://www.fangraphs.com/players/nasim-nunez/25979/stats?position=2B%2FSS" TargetMode="External"/><Relationship Id="rId279" Type="http://schemas.openxmlformats.org/officeDocument/2006/relationships/hyperlink" Target="https://www.fangraphs.com/players/austin-riley/18360/stats?position=3B" TargetMode="External"/><Relationship Id="rId43" Type="http://schemas.openxmlformats.org/officeDocument/2006/relationships/hyperlink" Target="https://www.fangraphs.com/players/byron-buxton/14161/stats?position=OF" TargetMode="External"/><Relationship Id="rId139" Type="http://schemas.openxmlformats.org/officeDocument/2006/relationships/hyperlink" Target="https://www.fangraphs.com/players/sal-stewart/31505/stats?position=1B%2F3B" TargetMode="External"/><Relationship Id="rId290" Type="http://schemas.openxmlformats.org/officeDocument/2006/relationships/hyperlink" Target="https://www.fangraphs.com/leaders/major-league?pageitems=2000000000&amp;team=25" TargetMode="External"/><Relationship Id="rId85" Type="http://schemas.openxmlformats.org/officeDocument/2006/relationships/hyperlink" Target="https://www.fangraphs.com/players/dansby-swanson/18314/stats?position=SS" TargetMode="External"/><Relationship Id="rId150" Type="http://schemas.openxmlformats.org/officeDocument/2006/relationships/hyperlink" Target="https://www.fangraphs.com/leaders/major-league?pageitems=2000000000&amp;team=11" TargetMode="External"/><Relationship Id="rId192" Type="http://schemas.openxmlformats.org/officeDocument/2006/relationships/hyperlink" Target="https://www.fangraphs.com/leaders/major-league?pageitems=2000000000&amp;team=16" TargetMode="External"/><Relationship Id="rId206" Type="http://schemas.openxmlformats.org/officeDocument/2006/relationships/hyperlink" Target="https://www.fangraphs.com/leaders/major-league?pageitems=2000000000&amp;team=17" TargetMode="External"/><Relationship Id="rId248" Type="http://schemas.openxmlformats.org/officeDocument/2006/relationships/hyperlink" Target="https://www.fangraphs.com/leaders/major-league?pageitems=2000000000&amp;team=24" TargetMode="External"/><Relationship Id="rId12" Type="http://schemas.openxmlformats.org/officeDocument/2006/relationships/hyperlink" Target="https://www.fangraphs.com/leaders/major-league?pageitems=2000000000&amp;team=6" TargetMode="External"/><Relationship Id="rId108" Type="http://schemas.openxmlformats.org/officeDocument/2006/relationships/hyperlink" Target="https://www.fangraphs.com/leaders/major-league?pageitems=2000000000&amp;team=23" TargetMode="External"/><Relationship Id="rId54" Type="http://schemas.openxmlformats.org/officeDocument/2006/relationships/hyperlink" Target="https://www.fangraphs.com/leaders/major-league?pageitems=2000000000&amp;team=16" TargetMode="External"/><Relationship Id="rId75" Type="http://schemas.openxmlformats.org/officeDocument/2006/relationships/hyperlink" Target="https://www.fangraphs.com/players/michael-harris-ii/25931/stats?position=OF" TargetMode="External"/><Relationship Id="rId96" Type="http://schemas.openxmlformats.org/officeDocument/2006/relationships/hyperlink" Target="https://www.fangraphs.com/leaders/major-league?pageitems=2000000000&amp;team=9" TargetMode="External"/><Relationship Id="rId140" Type="http://schemas.openxmlformats.org/officeDocument/2006/relationships/hyperlink" Target="https://www.fangraphs.com/leaders/major-league?pageitems=2000000000&amp;team=18" TargetMode="External"/><Relationship Id="rId161" Type="http://schemas.openxmlformats.org/officeDocument/2006/relationships/hyperlink" Target="https://www.fangraphs.com/players/william-contreras/20503/stats?position=C" TargetMode="External"/><Relationship Id="rId182" Type="http://schemas.openxmlformats.org/officeDocument/2006/relationships/hyperlink" Target="https://www.fangraphs.com/leaders/major-league?pageitems=2000000000&amp;team=7" TargetMode="External"/><Relationship Id="rId217" Type="http://schemas.openxmlformats.org/officeDocument/2006/relationships/hyperlink" Target="https://www.fangraphs.com/players/nolan-schanuel/33189/stats?position=1B" TargetMode="External"/><Relationship Id="rId6" Type="http://schemas.openxmlformats.org/officeDocument/2006/relationships/hyperlink" Target="https://www.fangraphs.com/leaders/major-league?pageitems=2000000000&amp;team=24" TargetMode="External"/><Relationship Id="rId238" Type="http://schemas.openxmlformats.org/officeDocument/2006/relationships/hyperlink" Target="https://www.fangraphs.com/leaders/major-league?pageitems=2000000000&amp;team=24" TargetMode="External"/><Relationship Id="rId259" Type="http://schemas.openxmlformats.org/officeDocument/2006/relationships/hyperlink" Target="https://www.fangraphs.com/players/josh-bell/13145/stats?position=1B%2FDH" TargetMode="External"/><Relationship Id="rId23" Type="http://schemas.openxmlformats.org/officeDocument/2006/relationships/hyperlink" Target="https://www.fangraphs.com/players/junior-caminero/28163/stats?position=3B" TargetMode="External"/><Relationship Id="rId119" Type="http://schemas.openxmlformats.org/officeDocument/2006/relationships/hyperlink" Target="https://www.fangraphs.com/players/julio-rodriguez/23697/stats?position=OF" TargetMode="External"/><Relationship Id="rId270" Type="http://schemas.openxmlformats.org/officeDocument/2006/relationships/hyperlink" Target="https://www.fangraphs.com/leaders/major-league?pageitems=2000000000&amp;team=3" TargetMode="External"/><Relationship Id="rId291" Type="http://schemas.openxmlformats.org/officeDocument/2006/relationships/hyperlink" Target="https://www.fangraphs.com/players/alec-bohm/21618/stats?position=3B" TargetMode="External"/><Relationship Id="rId44" Type="http://schemas.openxmlformats.org/officeDocument/2006/relationships/hyperlink" Target="https://www.fangraphs.com/leaders/major-league?pageitems=2000000000&amp;team=8" TargetMode="External"/><Relationship Id="rId65" Type="http://schemas.openxmlformats.org/officeDocument/2006/relationships/hyperlink" Target="https://www.fangraphs.com/players/brandon-lowe/18882/stats?position=2B" TargetMode="External"/><Relationship Id="rId86" Type="http://schemas.openxmlformats.org/officeDocument/2006/relationships/hyperlink" Target="https://www.fangraphs.com/leaders/major-league?pageitems=2000000000&amp;team=17" TargetMode="External"/><Relationship Id="rId130" Type="http://schemas.openxmlformats.org/officeDocument/2006/relationships/hyperlink" Target="https://www.fangraphs.com/leaders/major-league?pageitems=2000000000&amp;team=17" TargetMode="External"/><Relationship Id="rId151" Type="http://schemas.openxmlformats.org/officeDocument/2006/relationships/hyperlink" Target="https://www.fangraphs.com/players/ian-happ/17919/stats?position=OF" TargetMode="External"/><Relationship Id="rId172" Type="http://schemas.openxmlformats.org/officeDocument/2006/relationships/hyperlink" Target="https://www.fangraphs.com/leaders/major-league?pageitems=2000000000&amp;team=28" TargetMode="External"/><Relationship Id="rId193" Type="http://schemas.openxmlformats.org/officeDocument/2006/relationships/hyperlink" Target="https://www.fangraphs.com/players/manny-machado/11493/stats?position=3B" TargetMode="External"/><Relationship Id="rId207" Type="http://schemas.openxmlformats.org/officeDocument/2006/relationships/hyperlink" Target="https://www.fangraphs.com/players/chandler-simpson/31912/stats?position=OF" TargetMode="External"/><Relationship Id="rId228" Type="http://schemas.openxmlformats.org/officeDocument/2006/relationships/hyperlink" Target="https://www.fangraphs.com/leaders/major-league?pageitems=2000000000&amp;team=14" TargetMode="External"/><Relationship Id="rId249" Type="http://schemas.openxmlformats.org/officeDocument/2006/relationships/hyperlink" Target="https://www.fangraphs.com/players/gavin-sheets/19901/stats?position=DH%2FOF" TargetMode="External"/><Relationship Id="rId13" Type="http://schemas.openxmlformats.org/officeDocument/2006/relationships/hyperlink" Target="https://www.fangraphs.com/players/dillon-dingler/27464/stats?position=C" TargetMode="External"/><Relationship Id="rId109" Type="http://schemas.openxmlformats.org/officeDocument/2006/relationships/hyperlink" Target="https://www.fangraphs.com/players/garrett-mitchell/27555/stats?position=OF" TargetMode="External"/><Relationship Id="rId260" Type="http://schemas.openxmlformats.org/officeDocument/2006/relationships/hyperlink" Target="https://www.fangraphs.com/leaders/major-league?pageitems=2000000000&amp;team=8" TargetMode="External"/><Relationship Id="rId281" Type="http://schemas.openxmlformats.org/officeDocument/2006/relationships/hyperlink" Target="https://www.fangraphs.com/players/spencer-torkelson/27465/stats?position=1B" TargetMode="External"/><Relationship Id="rId34" Type="http://schemas.openxmlformats.org/officeDocument/2006/relationships/hyperlink" Target="https://www.fangraphs.com/leaders/major-league?pageitems=2000000000&amp;team=15" TargetMode="External"/><Relationship Id="rId55" Type="http://schemas.openxmlformats.org/officeDocument/2006/relationships/hyperlink" Target="https://www.fangraphs.com/players/willson-contreras/11609/stats?position=C" TargetMode="External"/><Relationship Id="rId76" Type="http://schemas.openxmlformats.org/officeDocument/2006/relationships/hyperlink" Target="https://www.fangraphs.com/leaders/major-league?pageitems=2000000000&amp;team=16" TargetMode="External"/><Relationship Id="rId97" Type="http://schemas.openxmlformats.org/officeDocument/2006/relationships/hyperlink" Target="https://www.fangraphs.com/players/isaac-paredes/20036/stats?position=3B" TargetMode="External"/><Relationship Id="rId120" Type="http://schemas.openxmlformats.org/officeDocument/2006/relationships/hyperlink" Target="https://www.fangraphs.com/leaders/major-league?pageitems=2000000000&amp;team=11" TargetMode="External"/><Relationship Id="rId141" Type="http://schemas.openxmlformats.org/officeDocument/2006/relationships/hyperlink" Target="https://www.fangraphs.com/players/alex-bregman/17678/stats?position=3B" TargetMode="External"/><Relationship Id="rId7" Type="http://schemas.openxmlformats.org/officeDocument/2006/relationships/hyperlink" Target="https://www.fangraphs.com/players/yordan-alvarez/19556/stats?position=DH%2FOF" TargetMode="External"/><Relationship Id="rId162" Type="http://schemas.openxmlformats.org/officeDocument/2006/relationships/hyperlink" Target="https://www.fangraphs.com/leaders/major-league?pageitems=2000000000&amp;team=23" TargetMode="External"/><Relationship Id="rId183" Type="http://schemas.openxmlformats.org/officeDocument/2006/relationships/hyperlink" Target="https://www.fangraphs.com/players/nolan-arenado/9777/stats?position=3B" TargetMode="External"/><Relationship Id="rId218" Type="http://schemas.openxmlformats.org/officeDocument/2006/relationships/hyperlink" Target="https://www.fangraphs.com/leaders/major-league?pageitems=2000000000&amp;team=1" TargetMode="External"/><Relationship Id="rId239" Type="http://schemas.openxmlformats.org/officeDocument/2006/relationships/hyperlink" Target="https://www.fangraphs.com/players/jp-crawford/15491/stats?position=SS" TargetMode="External"/><Relationship Id="rId250" Type="http://schemas.openxmlformats.org/officeDocument/2006/relationships/hyperlink" Target="https://www.fangraphs.com/leaders/major-league?pageitems=2000000000&amp;team=29" TargetMode="External"/><Relationship Id="rId271" Type="http://schemas.openxmlformats.org/officeDocument/2006/relationships/hyperlink" Target="https://www.fangraphs.com/players/willi-castro/17338/stats?position=2B%2FOF" TargetMode="External"/><Relationship Id="rId292" Type="http://schemas.openxmlformats.org/officeDocument/2006/relationships/hyperlink" Target="https://www.fangraphs.com/leaders/major-league?pageitems=2000000000&amp;team=26" TargetMode="External"/><Relationship Id="rId24" Type="http://schemas.openxmlformats.org/officeDocument/2006/relationships/hyperlink" Target="https://www.fangraphs.com/leaders/major-league?pageitems=2000000000&amp;team=12" TargetMode="External"/><Relationship Id="rId45" Type="http://schemas.openxmlformats.org/officeDocument/2006/relationships/hyperlink" Target="https://www.fangraphs.com/players/max-muncy/13301/stats?position=1B%2F3B" TargetMode="External"/><Relationship Id="rId66" Type="http://schemas.openxmlformats.org/officeDocument/2006/relationships/hyperlink" Target="https://www.fangraphs.com/leaders/major-league?pageitems=2000000000&amp;team=27" TargetMode="External"/><Relationship Id="rId87" Type="http://schemas.openxmlformats.org/officeDocument/2006/relationships/hyperlink" Target="https://www.fangraphs.com/players/pete-alonso/19251/stats?position=1B" TargetMode="External"/><Relationship Id="rId110" Type="http://schemas.openxmlformats.org/officeDocument/2006/relationships/hyperlink" Target="https://www.fangraphs.com/leaders/major-league?pageitems=2000000000&amp;team=23" TargetMode="External"/><Relationship Id="rId131" Type="http://schemas.openxmlformats.org/officeDocument/2006/relationships/hyperlink" Target="https://www.fangraphs.com/players/chase-meidroth/31580/stats?position=2B%2FSS" TargetMode="External"/><Relationship Id="rId152" Type="http://schemas.openxmlformats.org/officeDocument/2006/relationships/hyperlink" Target="https://www.fangraphs.com/leaders/major-league?pageitems=2000000000&amp;team=17" TargetMode="External"/><Relationship Id="rId173" Type="http://schemas.openxmlformats.org/officeDocument/2006/relationships/hyperlink" Target="https://www.fangraphs.com/players/bryson-stott/26294/stats?position=2B" TargetMode="External"/><Relationship Id="rId194" Type="http://schemas.openxmlformats.org/officeDocument/2006/relationships/hyperlink" Target="https://www.fangraphs.com/leaders/major-league?pageitems=2000000000&amp;team=29" TargetMode="External"/><Relationship Id="rId208" Type="http://schemas.openxmlformats.org/officeDocument/2006/relationships/hyperlink" Target="https://www.fangraphs.com/leaders/major-league?pageitems=2000000000&amp;team=12" TargetMode="External"/><Relationship Id="rId229" Type="http://schemas.openxmlformats.org/officeDocument/2006/relationships/hyperlink" Target="https://www.fangraphs.com/players/luke-keaschall/33321/stats?position=2B" TargetMode="External"/><Relationship Id="rId240" Type="http://schemas.openxmlformats.org/officeDocument/2006/relationships/hyperlink" Target="https://www.fangraphs.com/leaders/major-league?pageitems=2000000000&amp;team=11" TargetMode="External"/><Relationship Id="rId261" Type="http://schemas.openxmlformats.org/officeDocument/2006/relationships/hyperlink" Target="https://www.fangraphs.com/players/trea-turner/16252/stats?position=SS" TargetMode="External"/><Relationship Id="rId14" Type="http://schemas.openxmlformats.org/officeDocument/2006/relationships/hyperlink" Target="https://www.fangraphs.com/leaders/major-league?pageitems=2000000000&amp;team=6" TargetMode="External"/><Relationship Id="rId35" Type="http://schemas.openxmlformats.org/officeDocument/2006/relationships/hyperlink" Target="https://www.fangraphs.com/players/nick-kurtz/35110/stats?position=1B" TargetMode="External"/><Relationship Id="rId56" Type="http://schemas.openxmlformats.org/officeDocument/2006/relationships/hyperlink" Target="https://www.fangraphs.com/leaders/major-league?pageitems=2000000000&amp;team=3" TargetMode="External"/><Relationship Id="rId77" Type="http://schemas.openxmlformats.org/officeDocument/2006/relationships/hyperlink" Target="https://www.fangraphs.com/players/mike-trout/10155/stats?position=OF" TargetMode="External"/><Relationship Id="rId100" Type="http://schemas.openxmlformats.org/officeDocument/2006/relationships/hyperlink" Target="https://www.fangraphs.com/leaders/major-league?pageitems=2000000000&amp;team=16" TargetMode="External"/><Relationship Id="rId282" Type="http://schemas.openxmlformats.org/officeDocument/2006/relationships/hyperlink" Target="https://www.fangraphs.com/leaders/major-league?pageitems=2000000000&amp;team=6" TargetMode="External"/><Relationship Id="rId8" Type="http://schemas.openxmlformats.org/officeDocument/2006/relationships/hyperlink" Target="https://www.fangraphs.com/leaders/major-league?pageitems=2000000000&amp;team=21" TargetMode="External"/><Relationship Id="rId98" Type="http://schemas.openxmlformats.org/officeDocument/2006/relationships/hyperlink" Target="https://www.fangraphs.com/leaders/major-league?pageitems=2000000000&amp;team=21" TargetMode="External"/><Relationship Id="rId121" Type="http://schemas.openxmlformats.org/officeDocument/2006/relationships/hyperlink" Target="https://www.fangraphs.com/players/casey-schmitt/27577/stats?position=2B%2F3B" TargetMode="External"/><Relationship Id="rId142" Type="http://schemas.openxmlformats.org/officeDocument/2006/relationships/hyperlink" Target="https://www.fangraphs.com/leaders/major-league?pageitems=2000000000&amp;team=17" TargetMode="External"/><Relationship Id="rId163" Type="http://schemas.openxmlformats.org/officeDocument/2006/relationships/hyperlink" Target="https://www.fangraphs.com/players/taylor-ward/17548/stats?position=OF" TargetMode="External"/><Relationship Id="rId184" Type="http://schemas.openxmlformats.org/officeDocument/2006/relationships/hyperlink" Target="https://www.fangraphs.com/leaders/major-league?pageitems=2000000000&amp;team=15" TargetMode="External"/><Relationship Id="rId219" Type="http://schemas.openxmlformats.org/officeDocument/2006/relationships/hyperlink" Target="https://www.fangraphs.com/players/daulton-varsho/19918/stats?position=OF" TargetMode="External"/><Relationship Id="rId230" Type="http://schemas.openxmlformats.org/officeDocument/2006/relationships/hyperlink" Target="https://www.fangraphs.com/leaders/major-league?pageitems=2000000000&amp;team=8" TargetMode="External"/><Relationship Id="rId251" Type="http://schemas.openxmlformats.org/officeDocument/2006/relationships/hyperlink" Target="https://www.fangraphs.com/players/troy-johnston/26143/stats?position=OF" TargetMode="External"/><Relationship Id="rId25" Type="http://schemas.openxmlformats.org/officeDocument/2006/relationships/hyperlink" Target="https://www.fangraphs.com/players/miguel-vargas/20178/stats?position=3B" TargetMode="External"/><Relationship Id="rId46" Type="http://schemas.openxmlformats.org/officeDocument/2006/relationships/hyperlink" Target="https://www.fangraphs.com/leaders/major-league?pageitems=2000000000&amp;team=22" TargetMode="External"/><Relationship Id="rId67" Type="http://schemas.openxmlformats.org/officeDocument/2006/relationships/hyperlink" Target="https://www.fangraphs.com/players/kyle-schwarber/16478/stats?position=DH%2FOF" TargetMode="External"/><Relationship Id="rId272" Type="http://schemas.openxmlformats.org/officeDocument/2006/relationships/hyperlink" Target="https://www.fangraphs.com/leaders/major-league?pageitems=2000000000&amp;team=19" TargetMode="External"/><Relationship Id="rId293" Type="http://schemas.openxmlformats.org/officeDocument/2006/relationships/hyperlink" Target="https://www.fangraphs.com/players/jorge-soler/14221/stats?position=DH%2FOF" TargetMode="External"/><Relationship Id="rId88" Type="http://schemas.openxmlformats.org/officeDocument/2006/relationships/hyperlink" Target="https://www.fangraphs.com/leaders/major-league?pageitems=2000000000&amp;team=2" TargetMode="External"/><Relationship Id="rId111" Type="http://schemas.openxmlformats.org/officeDocument/2006/relationships/hyperlink" Target="https://www.fangraphs.com/players/wilyer-abreu/23772/stats?position=OF" TargetMode="External"/><Relationship Id="rId132" Type="http://schemas.openxmlformats.org/officeDocument/2006/relationships/hyperlink" Target="https://www.fangraphs.com/leaders/major-league?pageitems=2000000000&amp;team=4" TargetMode="External"/><Relationship Id="rId153" Type="http://schemas.openxmlformats.org/officeDocument/2006/relationships/hyperlink" Target="https://www.fangraphs.com/players/ozzie-albies/16556/stats?position=2B" TargetMode="External"/><Relationship Id="rId174" Type="http://schemas.openxmlformats.org/officeDocument/2006/relationships/hyperlink" Target="https://www.fangraphs.com/leaders/major-league?pageitems=2000000000&amp;team=26" TargetMode="External"/><Relationship Id="rId195" Type="http://schemas.openxmlformats.org/officeDocument/2006/relationships/hyperlink" Target="https://www.fangraphs.com/players/brooks-lee/31595/stats?position=3B%2FSS" TargetMode="External"/><Relationship Id="rId209" Type="http://schemas.openxmlformats.org/officeDocument/2006/relationships/hyperlink" Target="https://www.fangraphs.com/players/cam-smith/35108/stats?position=OF" TargetMode="External"/><Relationship Id="rId220" Type="http://schemas.openxmlformats.org/officeDocument/2006/relationships/hyperlink" Target="https://www.fangraphs.com/leaders/major-league?pageitems=2000000000&amp;team=14" TargetMode="External"/><Relationship Id="rId241" Type="http://schemas.openxmlformats.org/officeDocument/2006/relationships/hyperlink" Target="https://www.fangraphs.com/players/jose-caballero/23401/stats?position=SS" TargetMode="External"/><Relationship Id="rId15" Type="http://schemas.openxmlformats.org/officeDocument/2006/relationships/hyperlink" Target="https://www.fangraphs.com/players/luis-arraez/18568/stats?position=1B%2F2B" TargetMode="External"/><Relationship Id="rId36" Type="http://schemas.openxmlformats.org/officeDocument/2006/relationships/hyperlink" Target="https://www.fangraphs.com/leaders/major-league?pageitems=2000000000&amp;team=10" TargetMode="External"/><Relationship Id="rId57" Type="http://schemas.openxmlformats.org/officeDocument/2006/relationships/hyperlink" Target="https://www.fangraphs.com/players/freddie-freeman/5361/stats?position=1B" TargetMode="External"/><Relationship Id="rId262" Type="http://schemas.openxmlformats.org/officeDocument/2006/relationships/hyperlink" Target="https://www.fangraphs.com/leaders/major-league?pageitems=2000000000&amp;team=26" TargetMode="External"/><Relationship Id="rId283" Type="http://schemas.openxmlformats.org/officeDocument/2006/relationships/hyperlink" Target="https://www.fangraphs.com/players/brett-baty/26123/stats?position=3B" TargetMode="External"/><Relationship Id="rId78" Type="http://schemas.openxmlformats.org/officeDocument/2006/relationships/hyperlink" Target="https://www.fangraphs.com/leaders/major-league?pageitems=2000000000&amp;team=1" TargetMode="External"/><Relationship Id="rId99" Type="http://schemas.openxmlformats.org/officeDocument/2006/relationships/hyperlink" Target="https://www.fangraphs.com/players/mauricio-dubon/16530/stats?position=OF" TargetMode="External"/><Relationship Id="rId101" Type="http://schemas.openxmlformats.org/officeDocument/2006/relationships/hyperlink" Target="https://www.fangraphs.com/players/geraldo-perdomo/22799/stats?position=SS" TargetMode="External"/><Relationship Id="rId122" Type="http://schemas.openxmlformats.org/officeDocument/2006/relationships/hyperlink" Target="https://www.fangraphs.com/leaders/major-league?pageitems=2000000000&amp;team=30" TargetMode="External"/><Relationship Id="rId143" Type="http://schemas.openxmlformats.org/officeDocument/2006/relationships/hyperlink" Target="https://www.fangraphs.com/players/liam-hicks/29844/stats?position=C%2F1B%2FDH" TargetMode="External"/><Relationship Id="rId164" Type="http://schemas.openxmlformats.org/officeDocument/2006/relationships/hyperlink" Target="https://www.fangraphs.com/leaders/major-league?pageitems=2000000000&amp;team=2" TargetMode="External"/><Relationship Id="rId185" Type="http://schemas.openxmlformats.org/officeDocument/2006/relationships/hyperlink" Target="https://www.fangraphs.com/players/masyn-winn/27479/stats?position=SS" TargetMode="External"/><Relationship Id="rId9" Type="http://schemas.openxmlformats.org/officeDocument/2006/relationships/hyperlink" Target="https://www.fangraphs.com/players/otto-lopez/19608/stats?position=2B%2FSS" TargetMode="External"/><Relationship Id="rId210" Type="http://schemas.openxmlformats.org/officeDocument/2006/relationships/hyperlink" Target="https://www.fangraphs.com/leaders/major-league?pageitems=2000000000&amp;team=21" TargetMode="External"/><Relationship Id="rId26" Type="http://schemas.openxmlformats.org/officeDocument/2006/relationships/hyperlink" Target="https://www.fangraphs.com/leaders/major-league?pageitems=2000000000&amp;team=4" TargetMode="External"/><Relationship Id="rId231" Type="http://schemas.openxmlformats.org/officeDocument/2006/relationships/hyperlink" Target="https://www.fangraphs.com/players/steven-kwan/24610/stats?position=OF" TargetMode="External"/><Relationship Id="rId252" Type="http://schemas.openxmlformats.org/officeDocument/2006/relationships/hyperlink" Target="https://www.fangraphs.com/leaders/major-league?pageitems=2000000000&amp;team=19" TargetMode="External"/><Relationship Id="rId273" Type="http://schemas.openxmlformats.org/officeDocument/2006/relationships/hyperlink" Target="https://www.fangraphs.com/players/willy-adames/15986/stats?position=SS" TargetMode="External"/><Relationship Id="rId294" Type="http://schemas.openxmlformats.org/officeDocument/2006/relationships/hyperlink" Target="https://www.fangraphs.com/leaders/major-league?pageitems=2000000000&amp;team=1" TargetMode="External"/><Relationship Id="rId47" Type="http://schemas.openxmlformats.org/officeDocument/2006/relationships/hyperlink" Target="https://www.fangraphs.com/players/ceddanne-rafaela/24262/stats?position=OF" TargetMode="External"/><Relationship Id="rId68" Type="http://schemas.openxmlformats.org/officeDocument/2006/relationships/hyperlink" Target="https://www.fangraphs.com/leaders/major-league?pageitems=2000000000&amp;team=26" TargetMode="External"/><Relationship Id="rId89" Type="http://schemas.openxmlformats.org/officeDocument/2006/relationships/hyperlink" Target="https://www.fangraphs.com/players/jose-ramirez/13510/stats?position=3B" TargetMode="External"/><Relationship Id="rId112" Type="http://schemas.openxmlformats.org/officeDocument/2006/relationships/hyperlink" Target="https://www.fangraphs.com/leaders/major-league?pageitems=2000000000&amp;team=3" TargetMode="External"/><Relationship Id="rId133" Type="http://schemas.openxmlformats.org/officeDocument/2006/relationships/hyperlink" Target="https://www.fangraphs.com/players/kyle-karros/33252/stats?position=3B" TargetMode="External"/><Relationship Id="rId154" Type="http://schemas.openxmlformats.org/officeDocument/2006/relationships/hyperlink" Target="https://www.fangraphs.com/leaders/major-league?pageitems=2000000000&amp;team=16" TargetMode="External"/><Relationship Id="rId175" Type="http://schemas.openxmlformats.org/officeDocument/2006/relationships/hyperlink" Target="https://www.fangraphs.com/players/tyler-soderstrom/27467/stats?position=1B%2FOF" TargetMode="External"/><Relationship Id="rId196" Type="http://schemas.openxmlformats.org/officeDocument/2006/relationships/hyperlink" Target="https://www.fangraphs.com/leaders/major-league?pageitems=2000000000&amp;team=8" TargetMode="External"/><Relationship Id="rId200" Type="http://schemas.openxmlformats.org/officeDocument/2006/relationships/hyperlink" Target="https://www.fangraphs.com/leaders/major-league?pageitems=2000000000&amp;team=13" TargetMode="External"/><Relationship Id="rId16" Type="http://schemas.openxmlformats.org/officeDocument/2006/relationships/hyperlink" Target="https://www.fangraphs.com/leaders/major-league?pageitems=2000000000&amp;team=30" TargetMode="External"/><Relationship Id="rId221" Type="http://schemas.openxmlformats.org/officeDocument/2006/relationships/hyperlink" Target="https://www.fangraphs.com/players/jake-burger/22275/stats?position=1B%2F3B" TargetMode="External"/><Relationship Id="rId242" Type="http://schemas.openxmlformats.org/officeDocument/2006/relationships/hyperlink" Target="https://www.fangraphs.com/leaders/major-league?pageitems=2000000000&amp;team=9" TargetMode="External"/><Relationship Id="rId263" Type="http://schemas.openxmlformats.org/officeDocument/2006/relationships/hyperlink" Target="https://www.fangraphs.com/players/isaac-collins/25477/stats?position=OF" TargetMode="External"/><Relationship Id="rId284" Type="http://schemas.openxmlformats.org/officeDocument/2006/relationships/hyperlink" Target="https://www.fangraphs.com/leaders/major-league?pageitems=2000000000&amp;team=25" TargetMode="External"/><Relationship Id="rId37" Type="http://schemas.openxmlformats.org/officeDocument/2006/relationships/hyperlink" Target="https://www.fangraphs.com/players/bryan-reynolds/19326/stats?position=OF" TargetMode="External"/><Relationship Id="rId58" Type="http://schemas.openxmlformats.org/officeDocument/2006/relationships/hyperlink" Target="https://www.fangraphs.com/leaders/major-league?pageitems=2000000000&amp;team=22" TargetMode="External"/><Relationship Id="rId79" Type="http://schemas.openxmlformats.org/officeDocument/2006/relationships/hyperlink" Target="https://www.fangraphs.com/players/jonathan-aranda/21837/stats?position=1B" TargetMode="External"/><Relationship Id="rId102" Type="http://schemas.openxmlformats.org/officeDocument/2006/relationships/hyperlink" Target="https://www.fangraphs.com/leaders/major-league?pageitems=2000000000&amp;team=15" TargetMode="External"/><Relationship Id="rId123" Type="http://schemas.openxmlformats.org/officeDocument/2006/relationships/hyperlink" Target="https://www.fangraphs.com/players/ketel-marte/13613/stats?position=2B" TargetMode="External"/><Relationship Id="rId144" Type="http://schemas.openxmlformats.org/officeDocument/2006/relationships/hyperlink" Target="https://www.fangraphs.com/leaders/major-league?pageitems=2000000000&amp;team=20" TargetMode="External"/><Relationship Id="rId90" Type="http://schemas.openxmlformats.org/officeDocument/2006/relationships/hyperlink" Target="https://www.fangraphs.com/leaders/major-league?pageitems=2000000000&amp;team=5" TargetMode="External"/><Relationship Id="rId165" Type="http://schemas.openxmlformats.org/officeDocument/2006/relationships/hyperlink" Target="https://www.fangraphs.com/players/brandon-marsh/20202/stats?position=OF" TargetMode="External"/><Relationship Id="rId186" Type="http://schemas.openxmlformats.org/officeDocument/2006/relationships/hyperlink" Target="https://www.fangraphs.com/leaders/major-league?pageitems=2000000000&amp;team=28" TargetMode="External"/><Relationship Id="rId211" Type="http://schemas.openxmlformats.org/officeDocument/2006/relationships/hyperlink" Target="https://www.fangraphs.com/players/kyle-stowers/26151/stats?position=OF" TargetMode="External"/><Relationship Id="rId232" Type="http://schemas.openxmlformats.org/officeDocument/2006/relationships/hyperlink" Target="https://www.fangraphs.com/leaders/major-league?pageitems=2000000000&amp;team=5" TargetMode="External"/><Relationship Id="rId253" Type="http://schemas.openxmlformats.org/officeDocument/2006/relationships/hyperlink" Target="https://www.fangraphs.com/players/jose-altuve/5417/stats?position=2B" TargetMode="External"/><Relationship Id="rId274" Type="http://schemas.openxmlformats.org/officeDocument/2006/relationships/hyperlink" Target="https://www.fangraphs.com/leaders/major-league?pageitems=2000000000&amp;team=30" TargetMode="External"/><Relationship Id="rId295" Type="http://schemas.openxmlformats.org/officeDocument/2006/relationships/hyperlink" Target="https://www.fangraphs.com/players/ezequiel-tovar/24064/stats?position=SS" TargetMode="External"/><Relationship Id="rId27" Type="http://schemas.openxmlformats.org/officeDocument/2006/relationships/hyperlink" Target="https://www.fangraphs.com/players/ben-rice/29576/stats?position=1B%2FDH" TargetMode="External"/><Relationship Id="rId48" Type="http://schemas.openxmlformats.org/officeDocument/2006/relationships/hyperlink" Target="https://www.fangraphs.com/leaders/major-league?pageitems=2000000000&amp;team=3" TargetMode="External"/><Relationship Id="rId69" Type="http://schemas.openxmlformats.org/officeDocument/2006/relationships/hyperlink" Target="https://www.fangraphs.com/players/cody-bellinger/15998/stats?position=1B%2FOF" TargetMode="External"/><Relationship Id="rId113" Type="http://schemas.openxmlformats.org/officeDocument/2006/relationships/hyperlink" Target="https://www.fangraphs.com/players/gunnar-henderson/26289/stats?position=SS" TargetMode="External"/><Relationship Id="rId134" Type="http://schemas.openxmlformats.org/officeDocument/2006/relationships/hyperlink" Target="https://www.fangraphs.com/leaders/major-league?pageitems=2000000000&amp;team=19" TargetMode="External"/><Relationship Id="rId80" Type="http://schemas.openxmlformats.org/officeDocument/2006/relationships/hyperlink" Target="https://www.fangraphs.com/leaders/major-league?pageitems=2000000000&amp;team=12" TargetMode="External"/><Relationship Id="rId155" Type="http://schemas.openxmlformats.org/officeDocument/2006/relationships/hyperlink" Target="https://www.fangraphs.com/players/jake-mccarthy/21622/stats?position=OF" TargetMode="External"/><Relationship Id="rId176" Type="http://schemas.openxmlformats.org/officeDocument/2006/relationships/hyperlink" Target="https://www.fangraphs.com/leaders/major-league?pageitems=2000000000&amp;team=10" TargetMode="External"/><Relationship Id="rId197" Type="http://schemas.openxmlformats.org/officeDocument/2006/relationships/hyperlink" Target="https://www.fangraphs.com/players/matt-chapman/16505/stats?position=3B" TargetMode="External"/><Relationship Id="rId201" Type="http://schemas.openxmlformats.org/officeDocument/2006/relationships/hyperlink" Target="https://www.fangraphs.com/players/rafael-devers/17350/stats?position=3B" TargetMode="External"/><Relationship Id="rId222" Type="http://schemas.openxmlformats.org/officeDocument/2006/relationships/hyperlink" Target="https://www.fangraphs.com/leaders/major-league?pageitems=2000000000&amp;team=13" TargetMode="External"/><Relationship Id="rId243" Type="http://schemas.openxmlformats.org/officeDocument/2006/relationships/hyperlink" Target="https://www.fangraphs.com/players/spencer-steer/26323/stats?position=1B%2FOF" TargetMode="External"/><Relationship Id="rId264" Type="http://schemas.openxmlformats.org/officeDocument/2006/relationships/hyperlink" Target="https://www.fangraphs.com/leaders/major-league?pageitems=2000000000&amp;team=7" TargetMode="External"/><Relationship Id="rId285" Type="http://schemas.openxmlformats.org/officeDocument/2006/relationships/hyperlink" Target="https://www.fangraphs.com/players/kyle-manzardo/29794/stats?position=1B%2FDH" TargetMode="External"/><Relationship Id="rId17" Type="http://schemas.openxmlformats.org/officeDocument/2006/relationships/hyperlink" Target="https://www.fangraphs.com/players/jj-wetherholt/34985/stats?position=2B" TargetMode="External"/><Relationship Id="rId38" Type="http://schemas.openxmlformats.org/officeDocument/2006/relationships/hyperlink" Target="https://www.fangraphs.com/leaders/major-league?pageitems=2000000000&amp;team=27" TargetMode="External"/><Relationship Id="rId59" Type="http://schemas.openxmlformats.org/officeDocument/2006/relationships/hyperlink" Target="https://www.fangraphs.com/players/jordan-walker/27475/stats?position=OF" TargetMode="External"/><Relationship Id="rId103" Type="http://schemas.openxmlformats.org/officeDocument/2006/relationships/hyperlink" Target="https://www.fangraphs.com/players/hunter-goodman/29715/stats?position=C" TargetMode="External"/><Relationship Id="rId124" Type="http://schemas.openxmlformats.org/officeDocument/2006/relationships/hyperlink" Target="https://www.fangraphs.com/leaders/major-league?pageitems=2000000000&amp;team=15" TargetMode="External"/><Relationship Id="rId70" Type="http://schemas.openxmlformats.org/officeDocument/2006/relationships/hyperlink" Target="https://www.fangraphs.com/leaders/major-league?pageitems=2000000000&amp;team=9" TargetMode="External"/><Relationship Id="rId91" Type="http://schemas.openxmlformats.org/officeDocument/2006/relationships/hyperlink" Target="https://www.fangraphs.com/players/kazuma-okamoto/37123/stats?position=3B" TargetMode="External"/><Relationship Id="rId145" Type="http://schemas.openxmlformats.org/officeDocument/2006/relationships/hyperlink" Target="https://www.fangraphs.com/players/chase-delauter/32127/stats?position=DH%2FOF" TargetMode="External"/><Relationship Id="rId166" Type="http://schemas.openxmlformats.org/officeDocument/2006/relationships/hyperlink" Target="https://www.fangraphs.com/leaders/major-league?pageitems=2000000000&amp;team=26" TargetMode="External"/><Relationship Id="rId187" Type="http://schemas.openxmlformats.org/officeDocument/2006/relationships/hyperlink" Target="https://www.fangraphs.com/players/carter-jensen/29478/stats?position=C%2FDH" TargetMode="External"/><Relationship Id="rId1" Type="http://schemas.openxmlformats.org/officeDocument/2006/relationships/hyperlink" Target="https://www.fangraphs.com/players/pete-crow-armstrong/27769/stats?position=OF" TargetMode="External"/><Relationship Id="rId212" Type="http://schemas.openxmlformats.org/officeDocument/2006/relationships/hyperlink" Target="https://www.fangraphs.com/leaders/major-league?pageitems=2000000000&amp;team=20" TargetMode="External"/><Relationship Id="rId233" Type="http://schemas.openxmlformats.org/officeDocument/2006/relationships/hyperlink" Target="https://www.fangraphs.com/players/jung-hoo-lee/33824/stats?position=OF" TargetMode="External"/><Relationship Id="rId254" Type="http://schemas.openxmlformats.org/officeDocument/2006/relationships/hyperlink" Target="https://www.fangraphs.com/leaders/major-league?pageitems=2000000000&amp;team=21" TargetMode="External"/><Relationship Id="rId28" Type="http://schemas.openxmlformats.org/officeDocument/2006/relationships/hyperlink" Target="https://www.fangraphs.com/leaders/major-league?pageitems=2000000000&amp;team=9" TargetMode="External"/><Relationship Id="rId49" Type="http://schemas.openxmlformats.org/officeDocument/2006/relationships/hyperlink" Target="https://www.fangraphs.com/players/xavier-edwards/22266/stats?position=2B%2FSS" TargetMode="External"/><Relationship Id="rId114" Type="http://schemas.openxmlformats.org/officeDocument/2006/relationships/hyperlink" Target="https://www.fangraphs.com/leaders/major-league?pageitems=2000000000&amp;team=2" TargetMode="External"/><Relationship Id="rId275" Type="http://schemas.openxmlformats.org/officeDocument/2006/relationships/hyperlink" Target="https://www.fangraphs.com/players/matt-mclain/29695/stats?position=2B%2FSS" TargetMode="External"/><Relationship Id="rId296" Type="http://schemas.openxmlformats.org/officeDocument/2006/relationships/hyperlink" Target="https://www.fangraphs.com/leaders/major-league?pageitems=2000000000&amp;team=19" TargetMode="External"/><Relationship Id="rId60" Type="http://schemas.openxmlformats.org/officeDocument/2006/relationships/hyperlink" Target="https://www.fangraphs.com/leaders/major-league?pageitems=2000000000&amp;team=28" TargetMode="External"/><Relationship Id="rId81" Type="http://schemas.openxmlformats.org/officeDocument/2006/relationships/hyperlink" Target="https://www.fangraphs.com/players/ezequiel-duran/23733/stats?position=3B" TargetMode="External"/><Relationship Id="rId135" Type="http://schemas.openxmlformats.org/officeDocument/2006/relationships/hyperlink" Target="https://www.fangraphs.com/players/tj-rumfield/29805/stats?position=1B" TargetMode="External"/><Relationship Id="rId156" Type="http://schemas.openxmlformats.org/officeDocument/2006/relationships/hyperlink" Target="https://www.fangraphs.com/leaders/major-league?pageitems=2000000000&amp;team=19" TargetMode="External"/><Relationship Id="rId177" Type="http://schemas.openxmlformats.org/officeDocument/2006/relationships/hyperlink" Target="https://www.fangraphs.com/players/andres-gimenez/19950/stats?position=2B" TargetMode="External"/><Relationship Id="rId198" Type="http://schemas.openxmlformats.org/officeDocument/2006/relationships/hyperlink" Target="https://www.fangraphs.com/leaders/major-league?pageitems=2000000000&amp;team=30" TargetMode="External"/><Relationship Id="rId202" Type="http://schemas.openxmlformats.org/officeDocument/2006/relationships/hyperlink" Target="https://www.fangraphs.com/leaders/major-league?pageitems=2000000000&amp;team=30" TargetMode="External"/><Relationship Id="rId223" Type="http://schemas.openxmlformats.org/officeDocument/2006/relationships/hyperlink" Target="https://www.fangraphs.com/players/samuel-basallo/28824/stats?position=C%2FDH" TargetMode="External"/><Relationship Id="rId244" Type="http://schemas.openxmlformats.org/officeDocument/2006/relationships/hyperlink" Target="https://www.fangraphs.com/leaders/major-league?pageitems=2000000000&amp;team=18" TargetMode="External"/><Relationship Id="rId18" Type="http://schemas.openxmlformats.org/officeDocument/2006/relationships/hyperlink" Target="https://www.fangraphs.com/leaders/major-league?pageitems=2000000000&amp;team=28" TargetMode="External"/><Relationship Id="rId39" Type="http://schemas.openxmlformats.org/officeDocument/2006/relationships/hyperlink" Target="https://www.fangraphs.com/players/juan-soto/20123/stats?position=OF" TargetMode="External"/><Relationship Id="rId265" Type="http://schemas.openxmlformats.org/officeDocument/2006/relationships/hyperlink" Target="https://www.fangraphs.com/players/jakob-marsee/31370/stats?position=OF" TargetMode="External"/><Relationship Id="rId286" Type="http://schemas.openxmlformats.org/officeDocument/2006/relationships/hyperlink" Target="https://www.fangraphs.com/leaders/major-league?pageitems=2000000000&amp;team=5" TargetMode="External"/><Relationship Id="rId50" Type="http://schemas.openxmlformats.org/officeDocument/2006/relationships/hyperlink" Target="https://www.fangraphs.com/leaders/major-league?pageitems=2000000000&amp;team=20" TargetMode="External"/><Relationship Id="rId104" Type="http://schemas.openxmlformats.org/officeDocument/2006/relationships/hyperlink" Target="https://www.fangraphs.com/leaders/major-league?pageitems=2000000000&amp;team=19" TargetMode="External"/><Relationship Id="rId125" Type="http://schemas.openxmlformats.org/officeDocument/2006/relationships/hyperlink" Target="https://www.fangraphs.com/players/luis-garcia-jr/20391/stats?position=2B" TargetMode="External"/><Relationship Id="rId146" Type="http://schemas.openxmlformats.org/officeDocument/2006/relationships/hyperlink" Target="https://www.fangraphs.com/leaders/major-league?pageitems=2000000000&amp;team=5" TargetMode="External"/><Relationship Id="rId167" Type="http://schemas.openxmlformats.org/officeDocument/2006/relationships/hyperlink" Target="https://www.fangraphs.com/players/kody-clemens/20572/stats?position=1B" TargetMode="External"/><Relationship Id="rId188" Type="http://schemas.openxmlformats.org/officeDocument/2006/relationships/hyperlink" Target="https://www.fangraphs.com/leaders/major-league?pageitems=2000000000&amp;team=7" TargetMode="External"/><Relationship Id="rId71" Type="http://schemas.openxmlformats.org/officeDocument/2006/relationships/hyperlink" Target="https://www.fangraphs.com/players/yandy-diaz/16578/stats?position=1B%2F3B%2FDH" TargetMode="External"/><Relationship Id="rId92" Type="http://schemas.openxmlformats.org/officeDocument/2006/relationships/hyperlink" Target="https://www.fangraphs.com/leaders/major-league?pageitems=2000000000&amp;team=14" TargetMode="External"/><Relationship Id="rId213" Type="http://schemas.openxmlformats.org/officeDocument/2006/relationships/hyperlink" Target="https://www.fangraphs.com/players/ryan-ohearn/16442/stats?position=1B" TargetMode="External"/><Relationship Id="rId234" Type="http://schemas.openxmlformats.org/officeDocument/2006/relationships/hyperlink" Target="https://www.fangraphs.com/leaders/major-league?pageitems=2000000000&amp;team=30" TargetMode="External"/><Relationship Id="rId2" Type="http://schemas.openxmlformats.org/officeDocument/2006/relationships/hyperlink" Target="https://www.fangraphs.com/leaders/major-league?pageitems=2000000000&amp;team=17" TargetMode="External"/><Relationship Id="rId29" Type="http://schemas.openxmlformats.org/officeDocument/2006/relationships/hyperlink" Target="https://www.fangraphs.com/players/elly-de-la-cruz/26668/stats?position=SS" TargetMode="External"/><Relationship Id="rId255" Type="http://schemas.openxmlformats.org/officeDocument/2006/relationships/hyperlink" Target="https://www.fangraphs.com/players/ildemaro-vargas/13324/stats?position=2B%2F3B" TargetMode="External"/><Relationship Id="rId276" Type="http://schemas.openxmlformats.org/officeDocument/2006/relationships/hyperlink" Target="https://www.fangraphs.com/leaders/major-league?pageitems=2000000000&amp;team=18" TargetMode="External"/><Relationship Id="rId297" Type="http://schemas.openxmlformats.org/officeDocument/2006/relationships/hyperlink" Target="https://www.fangraphs.com/players/salvador-perez/7304/stats?position=C" TargetMode="External"/><Relationship Id="rId40" Type="http://schemas.openxmlformats.org/officeDocument/2006/relationships/hyperlink" Target="https://www.fangraphs.com/leaders/major-league?pageitems=2000000000&amp;team=25" TargetMode="External"/><Relationship Id="rId115" Type="http://schemas.openxmlformats.org/officeDocument/2006/relationships/hyperlink" Target="https://www.fangraphs.com/players/seiya-suzuki/30116/stats?position=DH%2FOF" TargetMode="External"/><Relationship Id="rId136" Type="http://schemas.openxmlformats.org/officeDocument/2006/relationships/hyperlink" Target="https://www.fangraphs.com/leaders/major-league?pageitems=2000000000&amp;team=19" TargetMode="External"/><Relationship Id="rId157" Type="http://schemas.openxmlformats.org/officeDocument/2006/relationships/hyperlink" Target="https://www.fangraphs.com/players/carson-benge/35177/stats?position=OF" TargetMode="External"/><Relationship Id="rId178" Type="http://schemas.openxmlformats.org/officeDocument/2006/relationships/hyperlink" Target="https://www.fangraphs.com/leaders/major-league?pageitems=2000000000&amp;team=14" TargetMode="External"/><Relationship Id="rId61" Type="http://schemas.openxmlformats.org/officeDocument/2006/relationships/hyperlink" Target="https://www.fangraphs.com/players/josh-jung/26299/stats?position=3B" TargetMode="External"/><Relationship Id="rId82" Type="http://schemas.openxmlformats.org/officeDocument/2006/relationships/hyperlink" Target="https://www.fangraphs.com/leaders/major-league?pageitems=2000000000&amp;team=13" TargetMode="External"/><Relationship Id="rId199" Type="http://schemas.openxmlformats.org/officeDocument/2006/relationships/hyperlink" Target="https://www.fangraphs.com/players/brandon-nimmo/12927/stats?position=OF" TargetMode="External"/><Relationship Id="rId203" Type="http://schemas.openxmlformats.org/officeDocument/2006/relationships/hyperlink" Target="https://www.fangraphs.com/players/ernie-clement/20352/stats?position=2B%2F3B" TargetMode="External"/><Relationship Id="rId19" Type="http://schemas.openxmlformats.org/officeDocument/2006/relationships/hyperlink" Target="https://www.fangraphs.com/players/brice-turang/22186/stats?position=2B" TargetMode="External"/><Relationship Id="rId224" Type="http://schemas.openxmlformats.org/officeDocument/2006/relationships/hyperlink" Target="https://www.fangraphs.com/leaders/major-league?pageitems=2000000000&amp;team=2" TargetMode="External"/><Relationship Id="rId245" Type="http://schemas.openxmlformats.org/officeDocument/2006/relationships/hyperlink" Target="https://www.fangraphs.com/players/jackson-merrill/29490/stats?position=OF" TargetMode="External"/><Relationship Id="rId266" Type="http://schemas.openxmlformats.org/officeDocument/2006/relationships/hyperlink" Target="https://www.fangraphs.com/leaders/major-league?pageitems=2000000000&amp;team=20" TargetMode="External"/><Relationship Id="rId287" Type="http://schemas.openxmlformats.org/officeDocument/2006/relationships/hyperlink" Target="https://www.fangraphs.com/players/sal-frelick/29622/stats?position=OF" TargetMode="External"/><Relationship Id="rId30" Type="http://schemas.openxmlformats.org/officeDocument/2006/relationships/hyperlink" Target="https://www.fangraphs.com/leaders/major-league?pageitems=2000000000&amp;team=18" TargetMode="External"/><Relationship Id="rId105" Type="http://schemas.openxmlformats.org/officeDocument/2006/relationships/hyperlink" Target="https://www.fangraphs.com/players/zach-neto/31347/stats?position=SS" TargetMode="External"/><Relationship Id="rId126" Type="http://schemas.openxmlformats.org/officeDocument/2006/relationships/hyperlink" Target="https://www.fangraphs.com/leaders/major-league?pageitems=2000000000&amp;team=24" TargetMode="External"/><Relationship Id="rId147" Type="http://schemas.openxmlformats.org/officeDocument/2006/relationships/hyperlink" Target="https://www.fangraphs.com/players/bryce-harper/11579/stats?position=OF" TargetMode="External"/><Relationship Id="rId168" Type="http://schemas.openxmlformats.org/officeDocument/2006/relationships/hyperlink" Target="https://www.fangraphs.com/leaders/major-league?pageitems=2000000000&amp;team=8" TargetMode="External"/><Relationship Id="rId51" Type="http://schemas.openxmlformats.org/officeDocument/2006/relationships/hyperlink" Target="https://www.fangraphs.com/players/randy-arozarena/19290/stats?position=OF" TargetMode="External"/><Relationship Id="rId72" Type="http://schemas.openxmlformats.org/officeDocument/2006/relationships/hyperlink" Target="https://www.fangraphs.com/leaders/major-league?pageitems=2000000000&amp;team=12" TargetMode="External"/><Relationship Id="rId93" Type="http://schemas.openxmlformats.org/officeDocument/2006/relationships/hyperlink" Target="https://www.fangraphs.com/players/shea-langeliers/25816/stats?position=C" TargetMode="External"/><Relationship Id="rId189" Type="http://schemas.openxmlformats.org/officeDocument/2006/relationships/hyperlink" Target="https://www.fangraphs.com/players/caleb-durbin/29646/stats?position=3B" TargetMode="External"/><Relationship Id="rId3" Type="http://schemas.openxmlformats.org/officeDocument/2006/relationships/hyperlink" Target="https://www.fangraphs.com/players/bobby-witt-jr/25764/stats?position=SS" TargetMode="External"/><Relationship Id="rId214" Type="http://schemas.openxmlformats.org/officeDocument/2006/relationships/hyperlink" Target="https://www.fangraphs.com/leaders/major-league?pageitems=2000000000&amp;team=27" TargetMode="External"/><Relationship Id="rId235" Type="http://schemas.openxmlformats.org/officeDocument/2006/relationships/hyperlink" Target="https://www.fangraphs.com/players/bo-bichette/19612/stats?position=SS" TargetMode="External"/><Relationship Id="rId256" Type="http://schemas.openxmlformats.org/officeDocument/2006/relationships/hyperlink" Target="https://www.fangraphs.com/leaders/major-league?pageitems=2000000000&amp;team=15" TargetMode="External"/><Relationship Id="rId277" Type="http://schemas.openxmlformats.org/officeDocument/2006/relationships/hyperlink" Target="https://www.fangraphs.com/players/jo-adell/20220/stats?position=OF" TargetMode="External"/><Relationship Id="rId298" Type="http://schemas.openxmlformats.org/officeDocument/2006/relationships/hyperlink" Target="https://www.fangraphs.com/leaders/major-league?pageitems=2000000000&amp;team=7" TargetMode="External"/><Relationship Id="rId116" Type="http://schemas.openxmlformats.org/officeDocument/2006/relationships/hyperlink" Target="https://www.fangraphs.com/leaders/major-league?pageitems=2000000000&amp;team=17" TargetMode="External"/><Relationship Id="rId137" Type="http://schemas.openxmlformats.org/officeDocument/2006/relationships/hyperlink" Target="https://www.fangraphs.com/players/alec-burleson/27615/stats?position=1B%2FOF" TargetMode="External"/><Relationship Id="rId158" Type="http://schemas.openxmlformats.org/officeDocument/2006/relationships/hyperlink" Target="https://www.fangraphs.com/leaders/major-league?pageitems=2000000000&amp;team=25" TargetMode="External"/><Relationship Id="rId20" Type="http://schemas.openxmlformats.org/officeDocument/2006/relationships/hyperlink" Target="https://www.fangraphs.com/leaders/major-league?pageitems=2000000000&amp;team=23" TargetMode="External"/><Relationship Id="rId41" Type="http://schemas.openxmlformats.org/officeDocument/2006/relationships/hyperlink" Target="https://www.fangraphs.com/players/brayan-rocchio/23690/stats?position=SS" TargetMode="External"/><Relationship Id="rId62" Type="http://schemas.openxmlformats.org/officeDocument/2006/relationships/hyperlink" Target="https://www.fangraphs.com/leaders/major-league?pageitems=2000000000&amp;team=13" TargetMode="External"/><Relationship Id="rId83" Type="http://schemas.openxmlformats.org/officeDocument/2006/relationships/hyperlink" Target="https://www.fangraphs.com/players/colson-montgomery/29712/stats?position=SS" TargetMode="External"/><Relationship Id="rId179" Type="http://schemas.openxmlformats.org/officeDocument/2006/relationships/hyperlink" Target="https://www.fangraphs.com/players/samuel-antonacci/35101/stats?position=OF" TargetMode="External"/><Relationship Id="rId190" Type="http://schemas.openxmlformats.org/officeDocument/2006/relationships/hyperlink" Target="https://www.fangraphs.com/leaders/major-league?pageitems=2000000000&amp;team=3" TargetMode="External"/><Relationship Id="rId204" Type="http://schemas.openxmlformats.org/officeDocument/2006/relationships/hyperlink" Target="https://www.fangraphs.com/leaders/major-league?pageitems=2000000000&amp;team=14" TargetMode="External"/><Relationship Id="rId225" Type="http://schemas.openxmlformats.org/officeDocument/2006/relationships/hyperlink" Target="https://www.fangraphs.com/players/kyle-tucker/18345/stats?position=OF" TargetMode="External"/><Relationship Id="rId246" Type="http://schemas.openxmlformats.org/officeDocument/2006/relationships/hyperlink" Target="https://www.fangraphs.com/leaders/major-league?pageitems=2000000000&amp;team=29" TargetMode="External"/><Relationship Id="rId267" Type="http://schemas.openxmlformats.org/officeDocument/2006/relationships/hyperlink" Target="https://www.fangraphs.com/players/josh-naylor/18839/stats?position=1B" TargetMode="External"/><Relationship Id="rId288" Type="http://schemas.openxmlformats.org/officeDocument/2006/relationships/hyperlink" Target="https://www.fangraphs.com/leaders/major-league?pageitems=2000000000&amp;team=23" TargetMode="External"/><Relationship Id="rId106" Type="http://schemas.openxmlformats.org/officeDocument/2006/relationships/hyperlink" Target="https://www.fangraphs.com/leaders/major-league?pageitems=2000000000&amp;team=1" TargetMode="External"/><Relationship Id="rId127" Type="http://schemas.openxmlformats.org/officeDocument/2006/relationships/hyperlink" Target="https://www.fangraphs.com/players/fernando-tatis-jr/19709/stats?position=SS%2FOF" TargetMode="External"/><Relationship Id="rId10" Type="http://schemas.openxmlformats.org/officeDocument/2006/relationships/hyperlink" Target="https://www.fangraphs.com/leaders/major-league?pageitems=2000000000&amp;team=20" TargetMode="External"/><Relationship Id="rId31" Type="http://schemas.openxmlformats.org/officeDocument/2006/relationships/hyperlink" Target="https://www.fangraphs.com/players/andy-pages/24816/stats?position=OF" TargetMode="External"/><Relationship Id="rId52" Type="http://schemas.openxmlformats.org/officeDocument/2006/relationships/hyperlink" Target="https://www.fangraphs.com/leaders/major-league?pageitems=2000000000&amp;team=11" TargetMode="External"/><Relationship Id="rId73" Type="http://schemas.openxmlformats.org/officeDocument/2006/relationships/hyperlink" Target="https://www.fangraphs.com/players/cj-abrams/25768/stats?position=SS" TargetMode="External"/><Relationship Id="rId94" Type="http://schemas.openxmlformats.org/officeDocument/2006/relationships/hyperlink" Target="https://www.fangraphs.com/leaders/major-league?pageitems=2000000000&amp;team=10" TargetMode="External"/><Relationship Id="rId148" Type="http://schemas.openxmlformats.org/officeDocument/2006/relationships/hyperlink" Target="https://www.fangraphs.com/leaders/major-league?pageitems=2000000000&amp;team=26" TargetMode="External"/><Relationship Id="rId169" Type="http://schemas.openxmlformats.org/officeDocument/2006/relationships/hyperlink" Target="https://www.fangraphs.com/players/christian-walker/13419/stats?position=1B" TargetMode="External"/><Relationship Id="rId4" Type="http://schemas.openxmlformats.org/officeDocument/2006/relationships/hyperlink" Target="https://www.fangraphs.com/leaders/major-league?pageitems=2000000000&amp;team=7" TargetMode="External"/><Relationship Id="rId180" Type="http://schemas.openxmlformats.org/officeDocument/2006/relationships/hyperlink" Target="https://www.fangraphs.com/leaders/major-league?pageitems=2000000000&amp;team=4" TargetMode="External"/><Relationship Id="rId215" Type="http://schemas.openxmlformats.org/officeDocument/2006/relationships/hyperlink" Target="https://www.fangraphs.com/players/trent-grisham/18564/stats?position=OF" TargetMode="External"/><Relationship Id="rId236" Type="http://schemas.openxmlformats.org/officeDocument/2006/relationships/hyperlink" Target="https://www.fangraphs.com/leaders/major-league?pageitems=2000000000&amp;team=25" TargetMode="External"/><Relationship Id="rId257" Type="http://schemas.openxmlformats.org/officeDocument/2006/relationships/hyperlink" Target="https://www.fangraphs.com/players/cedric-mullins/17929/stats?position=OF" TargetMode="External"/><Relationship Id="rId278" Type="http://schemas.openxmlformats.org/officeDocument/2006/relationships/hyperlink" Target="https://www.fangraphs.com/leaders/major-league?pageitems=2000000000&amp;team=1" TargetMode="External"/><Relationship Id="rId42" Type="http://schemas.openxmlformats.org/officeDocument/2006/relationships/hyperlink" Target="https://www.fangraphs.com/leaders/major-league?pageitems=2000000000&amp;team=5" TargetMode="External"/><Relationship Id="rId84" Type="http://schemas.openxmlformats.org/officeDocument/2006/relationships/hyperlink" Target="https://www.fangraphs.com/leaders/major-league?pageitems=2000000000&amp;team=4" TargetMode="External"/><Relationship Id="rId138" Type="http://schemas.openxmlformats.org/officeDocument/2006/relationships/hyperlink" Target="https://www.fangraphs.com/leaders/major-league?pageitems=2000000000&amp;team=28" TargetMode="External"/><Relationship Id="rId191" Type="http://schemas.openxmlformats.org/officeDocument/2006/relationships/hyperlink" Target="https://www.fangraphs.com/players/drake-baldwin/31539/stats?position=C" TargetMode="External"/><Relationship Id="rId205" Type="http://schemas.openxmlformats.org/officeDocument/2006/relationships/hyperlink" Target="https://www.fangraphs.com/players/nico-hoerner/21479/stats?position=2B%2FSS" TargetMode="External"/><Relationship Id="rId247" Type="http://schemas.openxmlformats.org/officeDocument/2006/relationships/hyperlink" Target="https://www.fangraphs.com/players/daylen-lile/29995/stats?position=OF" TargetMode="External"/><Relationship Id="rId107" Type="http://schemas.openxmlformats.org/officeDocument/2006/relationships/hyperlink" Target="https://www.fangraphs.com/players/jake-bauers/15194/stats?position=1B%2FOF" TargetMode="External"/><Relationship Id="rId289" Type="http://schemas.openxmlformats.org/officeDocument/2006/relationships/hyperlink" Target="https://www.fangraphs.com/players/marcus-semien/12533/stats?position=2B%2FSS" TargetMode="External"/><Relationship Id="rId11" Type="http://schemas.openxmlformats.org/officeDocument/2006/relationships/hyperlink" Target="https://www.fangraphs.com/players/kevin-mcgonigle/33572/stats?position=3B%2FSS" TargetMode="External"/><Relationship Id="rId53" Type="http://schemas.openxmlformats.org/officeDocument/2006/relationships/hyperlink" Target="https://www.fangraphs.com/players/matt-olson/14344/stats?position=1B" TargetMode="External"/><Relationship Id="rId149" Type="http://schemas.openxmlformats.org/officeDocument/2006/relationships/hyperlink" Target="https://www.fangraphs.com/players/cole-young/31680/stats?position=2B" TargetMode="External"/><Relationship Id="rId95" Type="http://schemas.openxmlformats.org/officeDocument/2006/relationships/hyperlink" Target="https://www.fangraphs.com/players/jazz-chisholm-jr/20454/stats?position=2B%2FOF" TargetMode="External"/><Relationship Id="rId160" Type="http://schemas.openxmlformats.org/officeDocument/2006/relationships/hyperlink" Target="https://www.fangraphs.com/leaders/major-league?pageitems=2000000000&amp;team=29" TargetMode="External"/><Relationship Id="rId216" Type="http://schemas.openxmlformats.org/officeDocument/2006/relationships/hyperlink" Target="https://www.fangraphs.com/leaders/major-league?pageitems=2000000000&amp;team=9" TargetMode="External"/><Relationship Id="rId258" Type="http://schemas.openxmlformats.org/officeDocument/2006/relationships/hyperlink" Target="https://www.fangraphs.com/leaders/major-league?pageitems=2000000000&amp;team=12" TargetMode="External"/><Relationship Id="rId22" Type="http://schemas.openxmlformats.org/officeDocument/2006/relationships/hyperlink" Target="https://www.fangraphs.com/leaders/major-league?pageitems=2000000000&amp;team=22" TargetMode="External"/><Relationship Id="rId64" Type="http://schemas.openxmlformats.org/officeDocument/2006/relationships/hyperlink" Target="https://www.fangraphs.com/leaders/major-league?pageitems=2000000000&amp;team=6" TargetMode="External"/><Relationship Id="rId118" Type="http://schemas.openxmlformats.org/officeDocument/2006/relationships/hyperlink" Target="https://www.fangraphs.com/leaders/major-league?pageitems=2000000000&amp;team=27" TargetMode="External"/><Relationship Id="rId171" Type="http://schemas.openxmlformats.org/officeDocument/2006/relationships/hyperlink" Target="https://www.fangraphs.com/players/ivan-herrera/20599/stats?position=C%2FDH" TargetMode="External"/><Relationship Id="rId227" Type="http://schemas.openxmlformats.org/officeDocument/2006/relationships/hyperlink" Target="https://www.fangraphs.com/players/vladimir-guerrero-jr/19611/stats?position=1B" TargetMode="External"/><Relationship Id="rId269" Type="http://schemas.openxmlformats.org/officeDocument/2006/relationships/hyperlink" Target="https://www.fangraphs.com/players/jarren-duran/24617/stats?position=OF" TargetMode="External"/><Relationship Id="rId33" Type="http://schemas.openxmlformats.org/officeDocument/2006/relationships/hyperlink" Target="https://www.fangraphs.com/players/corbin-carroll/25878/stats?position=OF" TargetMode="External"/><Relationship Id="rId129" Type="http://schemas.openxmlformats.org/officeDocument/2006/relationships/hyperlink" Target="https://www.fangraphs.com/players/michael-busch/26319/stats?position=1B" TargetMode="External"/><Relationship Id="rId280" Type="http://schemas.openxmlformats.org/officeDocument/2006/relationships/hyperlink" Target="https://www.fangraphs.com/leaders/major-league?pageitems=2000000000&amp;team=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7BCB-2A4F-4047-A1CB-D488280C6C2A}">
  <dimension ref="A1:M150"/>
  <sheetViews>
    <sheetView showGridLines="0" tabSelected="1" workbookViewId="0">
      <pane ySplit="1" topLeftCell="A26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20.33203125" bestFit="1" customWidth="1"/>
    <col min="2" max="2" width="6.83203125" bestFit="1" customWidth="1"/>
    <col min="3" max="3" width="8.5" bestFit="1" customWidth="1"/>
    <col min="4" max="4" width="6.5" bestFit="1" customWidth="1"/>
    <col min="5" max="5" width="11.5" bestFit="1" customWidth="1"/>
    <col min="6" max="6" width="53.1640625" bestFit="1" customWidth="1"/>
    <col min="7" max="7" width="20.33203125" bestFit="1" customWidth="1"/>
    <col min="8" max="8" width="45.5" bestFit="1" customWidth="1"/>
    <col min="10" max="10" width="38.83203125" bestFit="1" customWidth="1"/>
    <col min="11" max="11" width="14.5" bestFit="1" customWidth="1"/>
    <col min="12" max="12" width="15.83203125" bestFit="1" customWidth="1"/>
    <col min="13" max="13" width="14" bestFit="1" customWidth="1"/>
  </cols>
  <sheetData>
    <row r="1" spans="1:13" ht="22" thickBot="1" x14ac:dyDescent="0.3">
      <c r="A1" s="9" t="str">
        <f>Raw_Fangraphs!A1</f>
        <v>Name</v>
      </c>
      <c r="B1" s="10" t="s">
        <v>15</v>
      </c>
      <c r="C1" s="10" t="s">
        <v>201</v>
      </c>
      <c r="D1" s="10" t="s">
        <v>17</v>
      </c>
      <c r="E1" s="11" t="s">
        <v>202</v>
      </c>
      <c r="F1" s="11" t="s">
        <v>203</v>
      </c>
      <c r="G1" s="17" t="s">
        <v>205</v>
      </c>
      <c r="H1" s="18" t="s">
        <v>140</v>
      </c>
      <c r="J1" s="13" t="s">
        <v>209</v>
      </c>
      <c r="K1" t="s">
        <v>216</v>
      </c>
      <c r="L1" t="s">
        <v>217</v>
      </c>
      <c r="M1" t="s">
        <v>218</v>
      </c>
    </row>
    <row r="2" spans="1:13" ht="17" thickTop="1" x14ac:dyDescent="0.2">
      <c r="A2" s="10" t="str">
        <f>Raw_Fangraphs!A2</f>
        <v>Pete Crow-Armstrong</v>
      </c>
      <c r="B2" s="11">
        <f>IFERROR(INDEX(Raw_Fangraphs!P$1:P$150, MATCH(Trade_Board!A2, Raw_Fangraphs!A$1:A$150,0)),"Not Found")</f>
        <v>0.39500000000000002</v>
      </c>
      <c r="C2" s="11">
        <f>IFERROR(INDEX(Raw_Fangraphs!Q$1:Q$150,MATCH(Trade_Board!A2,Raw_Fangraphs!A$1:A$150,0)),"Not Found")</f>
        <v>0.36299999999999999</v>
      </c>
      <c r="D2" s="11">
        <f>IFERROR(INDEX(Raw_Fangraphs!R$1:R$150,MATCH(Trade_Board!A2,Raw_Fangraphs!A$1:A$150,0)),"Not Found")</f>
        <v>153</v>
      </c>
      <c r="E2" s="11">
        <f>C2-B2</f>
        <v>-3.2000000000000028E-2</v>
      </c>
      <c r="F2" s="11" t="str">
        <f>IF(AND(E2&gt;=0,D2&lt;=100),"Buy-Low/Unlucky And Below Average Production",IF(AND(E2&gt;0,D2&lt;125,D2&gt;100),"Unlucky, Yet Above Average Production",IF(AND(E2&lt;0,D2&lt;125,D2&gt;90),"Solid Contributor",IF(D2&gt;=125,"Elite Player/Run Producer","Lucky Hitter With Low Production"))))</f>
        <v>Elite Player/Run Producer</v>
      </c>
      <c r="G2" s="12" t="s">
        <v>204</v>
      </c>
      <c r="H2" s="11">
        <f>INDEX(B1:B150,MATCH(H1,A1:A150,0))</f>
        <v>0.28100000000000003</v>
      </c>
      <c r="J2" s="14" t="s">
        <v>210</v>
      </c>
      <c r="K2" s="15">
        <v>0.28860714285714284</v>
      </c>
      <c r="L2" s="15">
        <v>0.309</v>
      </c>
      <c r="M2" s="16">
        <v>80.785714285714292</v>
      </c>
    </row>
    <row r="3" spans="1:13" ht="16" x14ac:dyDescent="0.2">
      <c r="A3" s="10" t="str">
        <f>Raw_Fangraphs!A3</f>
        <v>Bobby Witt Jr.</v>
      </c>
      <c r="B3" s="11">
        <f>IFERROR(INDEX(Raw_Fangraphs!P$1:P$150, MATCH(Trade_Board!A3, Raw_Fangraphs!A$1:A$150,0)),"Not Found")</f>
        <v>0.35299999999999998</v>
      </c>
      <c r="C3" s="11">
        <f>IFERROR(INDEX(Raw_Fangraphs!Q$1:Q$150,MATCH(Trade_Board!A3,Raw_Fangraphs!A$1:A$150,0)),"Not Found")</f>
        <v>0.38800000000000001</v>
      </c>
      <c r="D3" s="11">
        <f>IFERROR(INDEX(Raw_Fangraphs!R$1:R$150,MATCH(Trade_Board!A3,Raw_Fangraphs!A$1:A$150,0)),"Not Found")</f>
        <v>123</v>
      </c>
      <c r="E3" s="11">
        <f t="shared" ref="E3:E66" si="0">C3-B3</f>
        <v>3.5000000000000031E-2</v>
      </c>
      <c r="F3" s="11" t="str">
        <f t="shared" ref="F3:F66" si="1">IF(AND(E3&gt;=0,D3&lt;=100),"Buy-Low/Unlucky And Below Average Production",IF(AND(E3&gt;0,D3&lt;125,D3&gt;100),"Unlucky, Yet Above Average Production",IF(AND(E3&lt;0,D3&lt;125,D3&gt;90),"Solid Contributor",IF(D3&gt;=125,"Elite Player/Run Producer","Lucky Hitter With Low Production"))))</f>
        <v>Unlucky, Yet Above Average Production</v>
      </c>
      <c r="G3" s="12" t="s">
        <v>206</v>
      </c>
      <c r="H3" s="11">
        <f>INDEX(C1:C150,MATCH(H1,A1:A150,0))</f>
        <v>0.26500000000000001</v>
      </c>
      <c r="J3" s="14" t="s">
        <v>211</v>
      </c>
      <c r="K3" s="15">
        <v>0.3836551724137931</v>
      </c>
      <c r="L3" s="15">
        <v>0.37917241379310351</v>
      </c>
      <c r="M3" s="16">
        <v>145.37931034482759</v>
      </c>
    </row>
    <row r="4" spans="1:13" ht="16" x14ac:dyDescent="0.2">
      <c r="A4" s="10" t="str">
        <f>Raw_Fangraphs!A4</f>
        <v>James Wood</v>
      </c>
      <c r="B4" s="11">
        <f>IFERROR(INDEX(Raw_Fangraphs!P$1:P$150, MATCH(Trade_Board!A4, Raw_Fangraphs!A$1:A$150,0)),"Not Found")</f>
        <v>0.41599999999999998</v>
      </c>
      <c r="C4" s="11">
        <f>IFERROR(INDEX(Raw_Fangraphs!Q$1:Q$150,MATCH(Trade_Board!A4,Raw_Fangraphs!A$1:A$150,0)),"Not Found")</f>
        <v>0.433</v>
      </c>
      <c r="D4" s="11">
        <f>IFERROR(INDEX(Raw_Fangraphs!R$1:R$150,MATCH(Trade_Board!A4,Raw_Fangraphs!A$1:A$150,0)),"Not Found")</f>
        <v>166</v>
      </c>
      <c r="E4" s="11">
        <f t="shared" si="0"/>
        <v>1.7000000000000015E-2</v>
      </c>
      <c r="F4" s="11" t="str">
        <f t="shared" si="1"/>
        <v>Elite Player/Run Producer</v>
      </c>
      <c r="G4" s="12" t="s">
        <v>207</v>
      </c>
      <c r="H4" s="11">
        <f>INDEX(D1:D150,MATCH(H1,A1:A150,0))</f>
        <v>77</v>
      </c>
      <c r="J4" s="14" t="s">
        <v>212</v>
      </c>
      <c r="K4" s="15">
        <v>0.33389361702127657</v>
      </c>
      <c r="L4" s="15">
        <v>0.31342553191489375</v>
      </c>
      <c r="M4" s="16">
        <v>109.97872340425532</v>
      </c>
    </row>
    <row r="5" spans="1:13" ht="16" x14ac:dyDescent="0.2">
      <c r="A5" s="10" t="str">
        <f>Raw_Fangraphs!A5</f>
        <v>Yordan Alvarez</v>
      </c>
      <c r="B5" s="11">
        <f>IFERROR(INDEX(Raw_Fangraphs!P$1:P$150, MATCH(Trade_Board!A5, Raw_Fangraphs!A$1:A$150,0)),"Not Found")</f>
        <v>0.439</v>
      </c>
      <c r="C5" s="11">
        <f>IFERROR(INDEX(Raw_Fangraphs!Q$1:Q$150,MATCH(Trade_Board!A5,Raw_Fangraphs!A$1:A$150,0)),"Not Found")</f>
        <v>0.47599999999999998</v>
      </c>
      <c r="D5" s="11">
        <f>IFERROR(INDEX(Raw_Fangraphs!R$1:R$150,MATCH(Trade_Board!A5,Raw_Fangraphs!A$1:A$150,0)),"Not Found")</f>
        <v>186</v>
      </c>
      <c r="E5" s="11">
        <f t="shared" si="0"/>
        <v>3.6999999999999977E-2</v>
      </c>
      <c r="F5" s="11" t="str">
        <f t="shared" si="1"/>
        <v>Elite Player/Run Producer</v>
      </c>
      <c r="G5" s="12" t="s">
        <v>208</v>
      </c>
      <c r="H5" s="11">
        <f>H3-H2</f>
        <v>-1.6000000000000014E-2</v>
      </c>
      <c r="J5" s="14" t="s">
        <v>213</v>
      </c>
      <c r="K5" s="15">
        <v>0.33300000000000002</v>
      </c>
      <c r="L5" s="15">
        <v>0.34975000000000006</v>
      </c>
      <c r="M5" s="16">
        <v>111.9375</v>
      </c>
    </row>
    <row r="6" spans="1:13" ht="16" x14ac:dyDescent="0.2">
      <c r="A6" s="10" t="str">
        <f>Raw_Fangraphs!A6</f>
        <v>Otto Lopez</v>
      </c>
      <c r="B6" s="11">
        <f>IFERROR(INDEX(Raw_Fangraphs!P$1:P$150, MATCH(Trade_Board!A6, Raw_Fangraphs!A$1:A$150,0)),"Not Found")</f>
        <v>0.376</v>
      </c>
      <c r="C6" s="11">
        <f>IFERROR(INDEX(Raw_Fangraphs!Q$1:Q$150,MATCH(Trade_Board!A6,Raw_Fangraphs!A$1:A$150,0)),"Not Found")</f>
        <v>0.33900000000000002</v>
      </c>
      <c r="D6" s="11">
        <f>IFERROR(INDEX(Raw_Fangraphs!R$1:R$150,MATCH(Trade_Board!A6,Raw_Fangraphs!A$1:A$150,0)),"Not Found")</f>
        <v>137</v>
      </c>
      <c r="E6" s="11">
        <f t="shared" si="0"/>
        <v>-3.6999999999999977E-2</v>
      </c>
      <c r="F6" s="11" t="str">
        <f t="shared" si="1"/>
        <v>Elite Player/Run Producer</v>
      </c>
      <c r="G6" s="12" t="s">
        <v>215</v>
      </c>
      <c r="H6" s="11" t="str">
        <f>INDEX(F1:F150,MATCH(H1,A1:A150,0))</f>
        <v>Lucky Hitter With Low Production</v>
      </c>
      <c r="J6" s="14" t="s">
        <v>219</v>
      </c>
      <c r="K6" s="15">
        <v>0.32723076923076927</v>
      </c>
      <c r="L6" s="15">
        <v>0.31607692307692309</v>
      </c>
      <c r="M6" s="16">
        <v>106</v>
      </c>
    </row>
    <row r="7" spans="1:13" ht="16" x14ac:dyDescent="0.2">
      <c r="A7" s="10" t="str">
        <f>Raw_Fangraphs!A7</f>
        <v>Kevin McGonigle</v>
      </c>
      <c r="B7" s="11">
        <f>IFERROR(INDEX(Raw_Fangraphs!P$1:P$150, MATCH(Trade_Board!A7, Raw_Fangraphs!A$1:A$150,0)),"Not Found")</f>
        <v>0.36399999999999999</v>
      </c>
      <c r="C7" s="11">
        <f>IFERROR(INDEX(Raw_Fangraphs!Q$1:Q$150,MATCH(Trade_Board!A7,Raw_Fangraphs!A$1:A$150,0)),"Not Found")</f>
        <v>0.36599999999999999</v>
      </c>
      <c r="D7" s="11">
        <f>IFERROR(INDEX(Raw_Fangraphs!R$1:R$150,MATCH(Trade_Board!A7,Raw_Fangraphs!A$1:A$150,0)),"Not Found")</f>
        <v>133</v>
      </c>
      <c r="E7" s="11">
        <f t="shared" si="0"/>
        <v>2.0000000000000018E-3</v>
      </c>
      <c r="F7" s="11" t="str">
        <f t="shared" si="1"/>
        <v>Elite Player/Run Producer</v>
      </c>
      <c r="G7" s="10"/>
      <c r="H7" s="10"/>
      <c r="J7" s="14" t="s">
        <v>214</v>
      </c>
      <c r="K7" s="15">
        <v>0.33429530201342272</v>
      </c>
      <c r="L7" s="15">
        <v>0.33342281879194618</v>
      </c>
      <c r="M7" s="16">
        <v>111.45637583892618</v>
      </c>
    </row>
    <row r="8" spans="1:13" ht="16" x14ac:dyDescent="0.2">
      <c r="A8" s="10" t="str">
        <f>Raw_Fangraphs!A8</f>
        <v>Dillon Dingler</v>
      </c>
      <c r="B8" s="11">
        <f>IFERROR(INDEX(Raw_Fangraphs!P$1:P$150, MATCH(Trade_Board!A8, Raw_Fangraphs!A$1:A$150,0)),"Not Found")</f>
        <v>0.35599999999999998</v>
      </c>
      <c r="C8" s="11">
        <f>IFERROR(INDEX(Raw_Fangraphs!Q$1:Q$150,MATCH(Trade_Board!A8,Raw_Fangraphs!A$1:A$150,0)),"Not Found")</f>
        <v>0.38</v>
      </c>
      <c r="D8" s="11">
        <f>IFERROR(INDEX(Raw_Fangraphs!R$1:R$150,MATCH(Trade_Board!A8,Raw_Fangraphs!A$1:A$150,0)),"Not Found")</f>
        <v>128</v>
      </c>
      <c r="E8" s="11">
        <f t="shared" si="0"/>
        <v>2.4000000000000021E-2</v>
      </c>
      <c r="F8" s="11" t="str">
        <f t="shared" si="1"/>
        <v>Elite Player/Run Producer</v>
      </c>
    </row>
    <row r="9" spans="1:13" ht="16" x14ac:dyDescent="0.2">
      <c r="A9" s="10" t="str">
        <f>Raw_Fangraphs!A9</f>
        <v>Luis Arraez</v>
      </c>
      <c r="B9" s="11">
        <f>IFERROR(INDEX(Raw_Fangraphs!P$1:P$150, MATCH(Trade_Board!A9, Raw_Fangraphs!A$1:A$150,0)),"Not Found")</f>
        <v>0.35499999999999998</v>
      </c>
      <c r="C9" s="11">
        <f>IFERROR(INDEX(Raw_Fangraphs!Q$1:Q$150,MATCH(Trade_Board!A9,Raw_Fangraphs!A$1:A$150,0)),"Not Found")</f>
        <v>0.309</v>
      </c>
      <c r="D9" s="11">
        <f>IFERROR(INDEX(Raw_Fangraphs!R$1:R$150,MATCH(Trade_Board!A9,Raw_Fangraphs!A$1:A$150,0)),"Not Found")</f>
        <v>127</v>
      </c>
      <c r="E9" s="11">
        <f t="shared" si="0"/>
        <v>-4.5999999999999985E-2</v>
      </c>
      <c r="F9" s="11" t="str">
        <f t="shared" si="1"/>
        <v>Elite Player/Run Producer</v>
      </c>
    </row>
    <row r="10" spans="1:13" ht="16" x14ac:dyDescent="0.2">
      <c r="A10" s="10" t="str">
        <f>Raw_Fangraphs!A10</f>
        <v>JJ Wetherholt</v>
      </c>
      <c r="B10" s="11">
        <f>IFERROR(INDEX(Raw_Fangraphs!P$1:P$150, MATCH(Trade_Board!A10, Raw_Fangraphs!A$1:A$150,0)),"Not Found")</f>
        <v>0.33700000000000002</v>
      </c>
      <c r="C10" s="11">
        <f>IFERROR(INDEX(Raw_Fangraphs!Q$1:Q$150,MATCH(Trade_Board!A10,Raw_Fangraphs!A$1:A$150,0)),"Not Found")</f>
        <v>0.35299999999999998</v>
      </c>
      <c r="D10" s="11">
        <f>IFERROR(INDEX(Raw_Fangraphs!R$1:R$150,MATCH(Trade_Board!A10,Raw_Fangraphs!A$1:A$150,0)),"Not Found")</f>
        <v>114</v>
      </c>
      <c r="E10" s="11">
        <f t="shared" si="0"/>
        <v>1.5999999999999959E-2</v>
      </c>
      <c r="F10" s="11" t="str">
        <f t="shared" si="1"/>
        <v>Unlucky, Yet Above Average Production</v>
      </c>
    </row>
    <row r="11" spans="1:13" ht="16" x14ac:dyDescent="0.2">
      <c r="A11" s="10" t="str">
        <f>Raw_Fangraphs!A11</f>
        <v>Brice Turang</v>
      </c>
      <c r="B11" s="11">
        <f>IFERROR(INDEX(Raw_Fangraphs!P$1:P$150, MATCH(Trade_Board!A11, Raw_Fangraphs!A$1:A$150,0)),"Not Found")</f>
        <v>0.35799999999999998</v>
      </c>
      <c r="C11" s="11">
        <f>IFERROR(INDEX(Raw_Fangraphs!Q$1:Q$150,MATCH(Trade_Board!A11,Raw_Fangraphs!A$1:A$150,0)),"Not Found")</f>
        <v>0.34799999999999998</v>
      </c>
      <c r="D11" s="11">
        <f>IFERROR(INDEX(Raw_Fangraphs!R$1:R$150,MATCH(Trade_Board!A11,Raw_Fangraphs!A$1:A$150,0)),"Not Found")</f>
        <v>128</v>
      </c>
      <c r="E11" s="11">
        <f t="shared" si="0"/>
        <v>-1.0000000000000009E-2</v>
      </c>
      <c r="F11" s="11" t="str">
        <f t="shared" si="1"/>
        <v>Elite Player/Run Producer</v>
      </c>
    </row>
    <row r="12" spans="1:13" ht="16" x14ac:dyDescent="0.2">
      <c r="A12" s="10" t="str">
        <f>Raw_Fangraphs!A12</f>
        <v>Shohei Ohtani</v>
      </c>
      <c r="B12" s="11">
        <f>IFERROR(INDEX(Raw_Fangraphs!P$1:P$150, MATCH(Trade_Board!A12, Raw_Fangraphs!A$1:A$150,0)),"Not Found")</f>
        <v>0.40200000000000002</v>
      </c>
      <c r="C12" s="11">
        <f>IFERROR(INDEX(Raw_Fangraphs!Q$1:Q$150,MATCH(Trade_Board!A12,Raw_Fangraphs!A$1:A$150,0)),"Not Found")</f>
        <v>0.41099999999999998</v>
      </c>
      <c r="D12" s="11">
        <f>IFERROR(INDEX(Raw_Fangraphs!R$1:R$150,MATCH(Trade_Board!A12,Raw_Fangraphs!A$1:A$150,0)),"Not Found")</f>
        <v>157</v>
      </c>
      <c r="E12" s="11">
        <f t="shared" si="0"/>
        <v>8.9999999999999525E-3</v>
      </c>
      <c r="F12" s="11" t="str">
        <f t="shared" si="1"/>
        <v>Elite Player/Run Producer</v>
      </c>
    </row>
    <row r="13" spans="1:13" ht="16" x14ac:dyDescent="0.2">
      <c r="A13" s="10" t="str">
        <f>Raw_Fangraphs!A13</f>
        <v>Junior Caminero</v>
      </c>
      <c r="B13" s="11">
        <f>IFERROR(INDEX(Raw_Fangraphs!P$1:P$150, MATCH(Trade_Board!A13, Raw_Fangraphs!A$1:A$150,0)),"Not Found")</f>
        <v>0.39200000000000002</v>
      </c>
      <c r="C13" s="11">
        <f>IFERROR(INDEX(Raw_Fangraphs!Q$1:Q$150,MATCH(Trade_Board!A13,Raw_Fangraphs!A$1:A$150,0)),"Not Found")</f>
        <v>0.374</v>
      </c>
      <c r="D13" s="11">
        <f>IFERROR(INDEX(Raw_Fangraphs!R$1:R$150,MATCH(Trade_Board!A13,Raw_Fangraphs!A$1:A$150,0)),"Not Found")</f>
        <v>152</v>
      </c>
      <c r="E13" s="11">
        <f t="shared" si="0"/>
        <v>-1.8000000000000016E-2</v>
      </c>
      <c r="F13" s="11" t="str">
        <f t="shared" si="1"/>
        <v>Elite Player/Run Producer</v>
      </c>
    </row>
    <row r="14" spans="1:13" ht="16" x14ac:dyDescent="0.2">
      <c r="A14" s="10" t="str">
        <f>Raw_Fangraphs!A14</f>
        <v>Miguel Vargas</v>
      </c>
      <c r="B14" s="11">
        <f>IFERROR(INDEX(Raw_Fangraphs!P$1:P$150, MATCH(Trade_Board!A14, Raw_Fangraphs!A$1:A$150,0)),"Not Found")</f>
        <v>0.36599999999999999</v>
      </c>
      <c r="C14" s="11">
        <f>IFERROR(INDEX(Raw_Fangraphs!Q$1:Q$150,MATCH(Trade_Board!A14,Raw_Fangraphs!A$1:A$150,0)),"Not Found")</f>
        <v>0.40300000000000002</v>
      </c>
      <c r="D14" s="11">
        <f>IFERROR(INDEX(Raw_Fangraphs!R$1:R$150,MATCH(Trade_Board!A14,Raw_Fangraphs!A$1:A$150,0)),"Not Found")</f>
        <v>135</v>
      </c>
      <c r="E14" s="11">
        <f t="shared" si="0"/>
        <v>3.7000000000000033E-2</v>
      </c>
      <c r="F14" s="11" t="str">
        <f t="shared" si="1"/>
        <v>Elite Player/Run Producer</v>
      </c>
    </row>
    <row r="15" spans="1:13" ht="16" x14ac:dyDescent="0.2">
      <c r="A15" s="10" t="str">
        <f>Raw_Fangraphs!A15</f>
        <v>Ben Rice</v>
      </c>
      <c r="B15" s="11">
        <f>IFERROR(INDEX(Raw_Fangraphs!P$1:P$150, MATCH(Trade_Board!A15, Raw_Fangraphs!A$1:A$150,0)),"Not Found")</f>
        <v>0.40799999999999997</v>
      </c>
      <c r="C15" s="11">
        <f>IFERROR(INDEX(Raw_Fangraphs!Q$1:Q$150,MATCH(Trade_Board!A15,Raw_Fangraphs!A$1:A$150,0)),"Not Found")</f>
        <v>0.38200000000000001</v>
      </c>
      <c r="D15" s="11">
        <f>IFERROR(INDEX(Raw_Fangraphs!R$1:R$150,MATCH(Trade_Board!A15,Raw_Fangraphs!A$1:A$150,0)),"Not Found")</f>
        <v>166</v>
      </c>
      <c r="E15" s="11">
        <f t="shared" si="0"/>
        <v>-2.5999999999999968E-2</v>
      </c>
      <c r="F15" s="11" t="str">
        <f t="shared" si="1"/>
        <v>Elite Player/Run Producer</v>
      </c>
    </row>
    <row r="16" spans="1:13" ht="16" x14ac:dyDescent="0.2">
      <c r="A16" s="10" t="str">
        <f>Raw_Fangraphs!A16</f>
        <v>Elly De La Cruz</v>
      </c>
      <c r="B16" s="11">
        <f>IFERROR(INDEX(Raw_Fangraphs!P$1:P$150, MATCH(Trade_Board!A16, Raw_Fangraphs!A$1:A$150,0)),"Not Found")</f>
        <v>0.36299999999999999</v>
      </c>
      <c r="C16" s="11">
        <f>IFERROR(INDEX(Raw_Fangraphs!Q$1:Q$150,MATCH(Trade_Board!A16,Raw_Fangraphs!A$1:A$150,0)),"Not Found")</f>
        <v>0.36199999999999999</v>
      </c>
      <c r="D16" s="11">
        <f>IFERROR(INDEX(Raw_Fangraphs!R$1:R$150,MATCH(Trade_Board!A16,Raw_Fangraphs!A$1:A$150,0)),"Not Found")</f>
        <v>125</v>
      </c>
      <c r="E16" s="11">
        <f t="shared" si="0"/>
        <v>-1.0000000000000009E-3</v>
      </c>
      <c r="F16" s="11" t="str">
        <f t="shared" si="1"/>
        <v>Elite Player/Run Producer</v>
      </c>
    </row>
    <row r="17" spans="1:6" ht="16" x14ac:dyDescent="0.2">
      <c r="A17" s="10" t="str">
        <f>Raw_Fangraphs!A17</f>
        <v>Andy Pages</v>
      </c>
      <c r="B17" s="11">
        <f>IFERROR(INDEX(Raw_Fangraphs!P$1:P$150, MATCH(Trade_Board!A17, Raw_Fangraphs!A$1:A$150,0)),"Not Found")</f>
        <v>0.34799999999999998</v>
      </c>
      <c r="C17" s="11">
        <f>IFERROR(INDEX(Raw_Fangraphs!Q$1:Q$150,MATCH(Trade_Board!A17,Raw_Fangraphs!A$1:A$150,0)),"Not Found")</f>
        <v>0.34200000000000003</v>
      </c>
      <c r="D17" s="11">
        <f>IFERROR(INDEX(Raw_Fangraphs!R$1:R$150,MATCH(Trade_Board!A17,Raw_Fangraphs!A$1:A$150,0)),"Not Found")</f>
        <v>121</v>
      </c>
      <c r="E17" s="11">
        <f t="shared" si="0"/>
        <v>-5.9999999999999498E-3</v>
      </c>
      <c r="F17" s="11" t="str">
        <f t="shared" si="1"/>
        <v>Solid Contributor</v>
      </c>
    </row>
    <row r="18" spans="1:6" ht="16" x14ac:dyDescent="0.2">
      <c r="A18" s="10" t="str">
        <f>Raw_Fangraphs!A18</f>
        <v>Corbin Carroll</v>
      </c>
      <c r="B18" s="11">
        <f>IFERROR(INDEX(Raw_Fangraphs!P$1:P$150, MATCH(Trade_Board!A18, Raw_Fangraphs!A$1:A$150,0)),"Not Found")</f>
        <v>0.35599999999999998</v>
      </c>
      <c r="C18" s="11">
        <f>IFERROR(INDEX(Raw_Fangraphs!Q$1:Q$150,MATCH(Trade_Board!A18,Raw_Fangraphs!A$1:A$150,0)),"Not Found")</f>
        <v>0.34399999999999997</v>
      </c>
      <c r="D18" s="11">
        <f>IFERROR(INDEX(Raw_Fangraphs!R$1:R$150,MATCH(Trade_Board!A18,Raw_Fangraphs!A$1:A$150,0)),"Not Found")</f>
        <v>124</v>
      </c>
      <c r="E18" s="11">
        <f t="shared" si="0"/>
        <v>-1.2000000000000011E-2</v>
      </c>
      <c r="F18" s="11" t="str">
        <f t="shared" si="1"/>
        <v>Solid Contributor</v>
      </c>
    </row>
    <row r="19" spans="1:6" ht="16" x14ac:dyDescent="0.2">
      <c r="A19" s="10" t="str">
        <f>Raw_Fangraphs!A19</f>
        <v>Nick Kurtz</v>
      </c>
      <c r="B19" s="11">
        <f>IFERROR(INDEX(Raw_Fangraphs!P$1:P$150, MATCH(Trade_Board!A19, Raw_Fangraphs!A$1:A$150,0)),"Not Found")</f>
        <v>0.38900000000000001</v>
      </c>
      <c r="C19" s="11">
        <f>IFERROR(INDEX(Raw_Fangraphs!Q$1:Q$150,MATCH(Trade_Board!A19,Raw_Fangraphs!A$1:A$150,0)),"Not Found")</f>
        <v>0.38</v>
      </c>
      <c r="D19" s="11">
        <f>IFERROR(INDEX(Raw_Fangraphs!R$1:R$150,MATCH(Trade_Board!A19,Raw_Fangraphs!A$1:A$150,0)),"Not Found")</f>
        <v>148</v>
      </c>
      <c r="E19" s="11">
        <f t="shared" si="0"/>
        <v>-9.000000000000008E-3</v>
      </c>
      <c r="F19" s="11" t="str">
        <f t="shared" si="1"/>
        <v>Elite Player/Run Producer</v>
      </c>
    </row>
    <row r="20" spans="1:6" ht="16" x14ac:dyDescent="0.2">
      <c r="A20" s="10" t="str">
        <f>Raw_Fangraphs!A20</f>
        <v>Bryan Reynolds</v>
      </c>
      <c r="B20" s="11">
        <f>IFERROR(INDEX(Raw_Fangraphs!P$1:P$150, MATCH(Trade_Board!A20, Raw_Fangraphs!A$1:A$150,0)),"Not Found")</f>
        <v>0.38500000000000001</v>
      </c>
      <c r="C20" s="11">
        <f>IFERROR(INDEX(Raw_Fangraphs!Q$1:Q$150,MATCH(Trade_Board!A20,Raw_Fangraphs!A$1:A$150,0)),"Not Found")</f>
        <v>0.36699999999999999</v>
      </c>
      <c r="D20" s="11">
        <f>IFERROR(INDEX(Raw_Fangraphs!R$1:R$150,MATCH(Trade_Board!A20,Raw_Fangraphs!A$1:A$150,0)),"Not Found")</f>
        <v>143</v>
      </c>
      <c r="E20" s="11">
        <f t="shared" si="0"/>
        <v>-1.8000000000000016E-2</v>
      </c>
      <c r="F20" s="11" t="str">
        <f t="shared" si="1"/>
        <v>Elite Player/Run Producer</v>
      </c>
    </row>
    <row r="21" spans="1:6" ht="16" x14ac:dyDescent="0.2">
      <c r="A21" s="10" t="str">
        <f>Raw_Fangraphs!A21</f>
        <v>Juan Soto</v>
      </c>
      <c r="B21" s="11">
        <f>IFERROR(INDEX(Raw_Fangraphs!P$1:P$150, MATCH(Trade_Board!A21, Raw_Fangraphs!A$1:A$150,0)),"Not Found")</f>
        <v>0.40799999999999997</v>
      </c>
      <c r="C21" s="11">
        <f>IFERROR(INDEX(Raw_Fangraphs!Q$1:Q$150,MATCH(Trade_Board!A21,Raw_Fangraphs!A$1:A$150,0)),"Not Found")</f>
        <v>0.432</v>
      </c>
      <c r="D21" s="11">
        <f>IFERROR(INDEX(Raw_Fangraphs!R$1:R$150,MATCH(Trade_Board!A21,Raw_Fangraphs!A$1:A$150,0)),"Not Found")</f>
        <v>163</v>
      </c>
      <c r="E21" s="11">
        <f t="shared" si="0"/>
        <v>2.4000000000000021E-2</v>
      </c>
      <c r="F21" s="11" t="str">
        <f t="shared" si="1"/>
        <v>Elite Player/Run Producer</v>
      </c>
    </row>
    <row r="22" spans="1:6" ht="16" x14ac:dyDescent="0.2">
      <c r="A22" s="10" t="str">
        <f>Raw_Fangraphs!A22</f>
        <v>Brayan Rocchio</v>
      </c>
      <c r="B22" s="11">
        <f>IFERROR(INDEX(Raw_Fangraphs!P$1:P$150, MATCH(Trade_Board!A22, Raw_Fangraphs!A$1:A$150,0)),"Not Found")</f>
        <v>0.33200000000000002</v>
      </c>
      <c r="C22" s="11">
        <f>IFERROR(INDEX(Raw_Fangraphs!Q$1:Q$150,MATCH(Trade_Board!A22,Raw_Fangraphs!A$1:A$150,0)),"Not Found")</f>
        <v>0.30599999999999999</v>
      </c>
      <c r="D22" s="11">
        <f>IFERROR(INDEX(Raw_Fangraphs!R$1:R$150,MATCH(Trade_Board!A22,Raw_Fangraphs!A$1:A$150,0)),"Not Found")</f>
        <v>113</v>
      </c>
      <c r="E22" s="11">
        <f t="shared" si="0"/>
        <v>-2.6000000000000023E-2</v>
      </c>
      <c r="F22" s="11" t="str">
        <f t="shared" si="1"/>
        <v>Solid Contributor</v>
      </c>
    </row>
    <row r="23" spans="1:6" ht="16" x14ac:dyDescent="0.2">
      <c r="A23" s="10" t="str">
        <f>Raw_Fangraphs!A23</f>
        <v>Byron Buxton</v>
      </c>
      <c r="B23" s="11">
        <f>IFERROR(INDEX(Raw_Fangraphs!P$1:P$150, MATCH(Trade_Board!A23, Raw_Fangraphs!A$1:A$150,0)),"Not Found")</f>
        <v>0.38200000000000001</v>
      </c>
      <c r="C23" s="11">
        <f>IFERROR(INDEX(Raw_Fangraphs!Q$1:Q$150,MATCH(Trade_Board!A23,Raw_Fangraphs!A$1:A$150,0)),"Not Found")</f>
        <v>0.35099999999999998</v>
      </c>
      <c r="D23" s="11">
        <f>IFERROR(INDEX(Raw_Fangraphs!R$1:R$150,MATCH(Trade_Board!A23,Raw_Fangraphs!A$1:A$150,0)),"Not Found")</f>
        <v>145</v>
      </c>
      <c r="E23" s="11">
        <f t="shared" si="0"/>
        <v>-3.1000000000000028E-2</v>
      </c>
      <c r="F23" s="11" t="str">
        <f t="shared" si="1"/>
        <v>Elite Player/Run Producer</v>
      </c>
    </row>
    <row r="24" spans="1:6" ht="16" x14ac:dyDescent="0.2">
      <c r="A24" s="10" t="str">
        <f>Raw_Fangraphs!A24</f>
        <v>Max Muncy</v>
      </c>
      <c r="B24" s="11">
        <f>IFERROR(INDEX(Raw_Fangraphs!P$1:P$150, MATCH(Trade_Board!A24, Raw_Fangraphs!A$1:A$150,0)),"Not Found")</f>
        <v>0.36499999999999999</v>
      </c>
      <c r="C24" s="11">
        <f>IFERROR(INDEX(Raw_Fangraphs!Q$1:Q$150,MATCH(Trade_Board!A24,Raw_Fangraphs!A$1:A$150,0)),"Not Found")</f>
        <v>0.36099999999999999</v>
      </c>
      <c r="D24" s="11">
        <f>IFERROR(INDEX(Raw_Fangraphs!R$1:R$150,MATCH(Trade_Board!A24,Raw_Fangraphs!A$1:A$150,0)),"Not Found")</f>
        <v>132</v>
      </c>
      <c r="E24" s="11">
        <f t="shared" si="0"/>
        <v>-4.0000000000000036E-3</v>
      </c>
      <c r="F24" s="11" t="str">
        <f t="shared" si="1"/>
        <v>Elite Player/Run Producer</v>
      </c>
    </row>
    <row r="25" spans="1:6" ht="16" x14ac:dyDescent="0.2">
      <c r="A25" s="10" t="str">
        <f>Raw_Fangraphs!A25</f>
        <v>Ceddanne Rafaela</v>
      </c>
      <c r="B25" s="11">
        <f>IFERROR(INDEX(Raw_Fangraphs!P$1:P$150, MATCH(Trade_Board!A25, Raw_Fangraphs!A$1:A$150,0)),"Not Found")</f>
        <v>0.33300000000000002</v>
      </c>
      <c r="C25" s="11">
        <f>IFERROR(INDEX(Raw_Fangraphs!Q$1:Q$150,MATCH(Trade_Board!A25,Raw_Fangraphs!A$1:A$150,0)),"Not Found")</f>
        <v>0.28699999999999998</v>
      </c>
      <c r="D25" s="11">
        <f>IFERROR(INDEX(Raw_Fangraphs!R$1:R$150,MATCH(Trade_Board!A25,Raw_Fangraphs!A$1:A$150,0)),"Not Found")</f>
        <v>108</v>
      </c>
      <c r="E25" s="11">
        <f t="shared" si="0"/>
        <v>-4.6000000000000041E-2</v>
      </c>
      <c r="F25" s="11" t="str">
        <f t="shared" si="1"/>
        <v>Solid Contributor</v>
      </c>
    </row>
    <row r="26" spans="1:6" ht="16" x14ac:dyDescent="0.2">
      <c r="A26" s="10" t="str">
        <f>Raw_Fangraphs!A26</f>
        <v>Xavier Edwards</v>
      </c>
      <c r="B26" s="11">
        <f>IFERROR(INDEX(Raw_Fangraphs!P$1:P$150, MATCH(Trade_Board!A26, Raw_Fangraphs!A$1:A$150,0)),"Not Found")</f>
        <v>0.35499999999999998</v>
      </c>
      <c r="C26" s="11">
        <f>IFERROR(INDEX(Raw_Fangraphs!Q$1:Q$150,MATCH(Trade_Board!A26,Raw_Fangraphs!A$1:A$150,0)),"Not Found")</f>
        <v>0.32800000000000001</v>
      </c>
      <c r="D26" s="11">
        <f>IFERROR(INDEX(Raw_Fangraphs!R$1:R$150,MATCH(Trade_Board!A26,Raw_Fangraphs!A$1:A$150,0)),"Not Found")</f>
        <v>123</v>
      </c>
      <c r="E26" s="11">
        <f t="shared" si="0"/>
        <v>-2.6999999999999968E-2</v>
      </c>
      <c r="F26" s="11" t="str">
        <f t="shared" si="1"/>
        <v>Solid Contributor</v>
      </c>
    </row>
    <row r="27" spans="1:6" ht="16" x14ac:dyDescent="0.2">
      <c r="A27" s="10" t="str">
        <f>Raw_Fangraphs!A27</f>
        <v>Randy Arozarena</v>
      </c>
      <c r="B27" s="11">
        <f>IFERROR(INDEX(Raw_Fangraphs!P$1:P$150, MATCH(Trade_Board!A27, Raw_Fangraphs!A$1:A$150,0)),"Not Found")</f>
        <v>0.36899999999999999</v>
      </c>
      <c r="C27" s="11">
        <f>IFERROR(INDEX(Raw_Fangraphs!Q$1:Q$150,MATCH(Trade_Board!A27,Raw_Fangraphs!A$1:A$150,0)),"Not Found")</f>
        <v>0.35499999999999998</v>
      </c>
      <c r="D27" s="11">
        <f>IFERROR(INDEX(Raw_Fangraphs!R$1:R$150,MATCH(Trade_Board!A27,Raw_Fangraphs!A$1:A$150,0)),"Not Found")</f>
        <v>144</v>
      </c>
      <c r="E27" s="11">
        <f t="shared" si="0"/>
        <v>-1.4000000000000012E-2</v>
      </c>
      <c r="F27" s="11" t="str">
        <f t="shared" si="1"/>
        <v>Elite Player/Run Producer</v>
      </c>
    </row>
    <row r="28" spans="1:6" ht="16" x14ac:dyDescent="0.2">
      <c r="A28" s="10" t="str">
        <f>Raw_Fangraphs!A28</f>
        <v>Matt Olson</v>
      </c>
      <c r="B28" s="11">
        <f>IFERROR(INDEX(Raw_Fangraphs!P$1:P$150, MATCH(Trade_Board!A28, Raw_Fangraphs!A$1:A$150,0)),"Not Found")</f>
        <v>0.371</v>
      </c>
      <c r="C28" s="11">
        <f>IFERROR(INDEX(Raw_Fangraphs!Q$1:Q$150,MATCH(Trade_Board!A28,Raw_Fangraphs!A$1:A$150,0)),"Not Found")</f>
        <v>0.35899999999999999</v>
      </c>
      <c r="D28" s="11">
        <f>IFERROR(INDEX(Raw_Fangraphs!R$1:R$150,MATCH(Trade_Board!A28,Raw_Fangraphs!A$1:A$150,0)),"Not Found")</f>
        <v>135</v>
      </c>
      <c r="E28" s="11">
        <f t="shared" si="0"/>
        <v>-1.2000000000000011E-2</v>
      </c>
      <c r="F28" s="11" t="str">
        <f t="shared" si="1"/>
        <v>Elite Player/Run Producer</v>
      </c>
    </row>
    <row r="29" spans="1:6" ht="16" x14ac:dyDescent="0.2">
      <c r="A29" s="10" t="str">
        <f>Raw_Fangraphs!A29</f>
        <v>Willson Contreras</v>
      </c>
      <c r="B29" s="11">
        <f>IFERROR(INDEX(Raw_Fangraphs!P$1:P$150, MATCH(Trade_Board!A29, Raw_Fangraphs!A$1:A$150,0)),"Not Found")</f>
        <v>0.39500000000000002</v>
      </c>
      <c r="C29" s="11">
        <f>IFERROR(INDEX(Raw_Fangraphs!Q$1:Q$150,MATCH(Trade_Board!A29,Raw_Fangraphs!A$1:A$150,0)),"Not Found")</f>
        <v>0.39</v>
      </c>
      <c r="D29" s="11">
        <f>IFERROR(INDEX(Raw_Fangraphs!R$1:R$150,MATCH(Trade_Board!A29,Raw_Fangraphs!A$1:A$150,0)),"Not Found")</f>
        <v>151</v>
      </c>
      <c r="E29" s="11">
        <f t="shared" si="0"/>
        <v>-5.0000000000000044E-3</v>
      </c>
      <c r="F29" s="11" t="str">
        <f t="shared" si="1"/>
        <v>Elite Player/Run Producer</v>
      </c>
    </row>
    <row r="30" spans="1:6" ht="16" x14ac:dyDescent="0.2">
      <c r="A30" s="10" t="str">
        <f>Raw_Fangraphs!A30</f>
        <v>Freddie Freeman</v>
      </c>
      <c r="B30" s="11">
        <f>IFERROR(INDEX(Raw_Fangraphs!P$1:P$150, MATCH(Trade_Board!A30, Raw_Fangraphs!A$1:A$150,0)),"Not Found")</f>
        <v>0.375</v>
      </c>
      <c r="C30" s="11">
        <f>IFERROR(INDEX(Raw_Fangraphs!Q$1:Q$150,MATCH(Trade_Board!A30,Raw_Fangraphs!A$1:A$150,0)),"Not Found")</f>
        <v>0.38400000000000001</v>
      </c>
      <c r="D30" s="11">
        <f>IFERROR(INDEX(Raw_Fangraphs!R$1:R$150,MATCH(Trade_Board!A30,Raw_Fangraphs!A$1:A$150,0)),"Not Found")</f>
        <v>138</v>
      </c>
      <c r="E30" s="11">
        <f t="shared" si="0"/>
        <v>9.000000000000008E-3</v>
      </c>
      <c r="F30" s="11" t="str">
        <f t="shared" si="1"/>
        <v>Elite Player/Run Producer</v>
      </c>
    </row>
    <row r="31" spans="1:6" ht="16" x14ac:dyDescent="0.2">
      <c r="A31" s="10" t="str">
        <f>Raw_Fangraphs!A31</f>
        <v>Jordan Walker</v>
      </c>
      <c r="B31" s="11">
        <f>IFERROR(INDEX(Raw_Fangraphs!P$1:P$150, MATCH(Trade_Board!A31, Raw_Fangraphs!A$1:A$150,0)),"Not Found")</f>
        <v>0.38</v>
      </c>
      <c r="C31" s="11">
        <f>IFERROR(INDEX(Raw_Fangraphs!Q$1:Q$150,MATCH(Trade_Board!A31,Raw_Fangraphs!A$1:A$150,0)),"Not Found")</f>
        <v>0.374</v>
      </c>
      <c r="D31" s="11">
        <f>IFERROR(INDEX(Raw_Fangraphs!R$1:R$150,MATCH(Trade_Board!A31,Raw_Fangraphs!A$1:A$150,0)),"Not Found")</f>
        <v>143</v>
      </c>
      <c r="E31" s="11">
        <f t="shared" si="0"/>
        <v>-6.0000000000000053E-3</v>
      </c>
      <c r="F31" s="11" t="str">
        <f t="shared" si="1"/>
        <v>Elite Player/Run Producer</v>
      </c>
    </row>
    <row r="32" spans="1:6" ht="16" x14ac:dyDescent="0.2">
      <c r="A32" s="10" t="str">
        <f>Raw_Fangraphs!A32</f>
        <v>Josh Jung</v>
      </c>
      <c r="B32" s="11">
        <f>IFERROR(INDEX(Raw_Fangraphs!P$1:P$150, MATCH(Trade_Board!A32, Raw_Fangraphs!A$1:A$150,0)),"Not Found")</f>
        <v>0.36</v>
      </c>
      <c r="C32" s="11">
        <f>IFERROR(INDEX(Raw_Fangraphs!Q$1:Q$150,MATCH(Trade_Board!A32,Raw_Fangraphs!A$1:A$150,0)),"Not Found")</f>
        <v>0.34599999999999997</v>
      </c>
      <c r="D32" s="11">
        <f>IFERROR(INDEX(Raw_Fangraphs!R$1:R$150,MATCH(Trade_Board!A32,Raw_Fangraphs!A$1:A$150,0)),"Not Found")</f>
        <v>132</v>
      </c>
      <c r="E32" s="11">
        <f t="shared" si="0"/>
        <v>-1.4000000000000012E-2</v>
      </c>
      <c r="F32" s="11" t="str">
        <f t="shared" si="1"/>
        <v>Elite Player/Run Producer</v>
      </c>
    </row>
    <row r="33" spans="1:6" ht="16" x14ac:dyDescent="0.2">
      <c r="A33" s="10" t="str">
        <f>Raw_Fangraphs!A33</f>
        <v>Riley Greene</v>
      </c>
      <c r="B33" s="11">
        <f>IFERROR(INDEX(Raw_Fangraphs!P$1:P$150, MATCH(Trade_Board!A33, Raw_Fangraphs!A$1:A$150,0)),"Not Found")</f>
        <v>0.36799999999999999</v>
      </c>
      <c r="C33" s="11">
        <f>IFERROR(INDEX(Raw_Fangraphs!Q$1:Q$150,MATCH(Trade_Board!A33,Raw_Fangraphs!A$1:A$150,0)),"Not Found")</f>
        <v>0.36499999999999999</v>
      </c>
      <c r="D33" s="11">
        <f>IFERROR(INDEX(Raw_Fangraphs!R$1:R$150,MATCH(Trade_Board!A33,Raw_Fangraphs!A$1:A$150,0)),"Not Found")</f>
        <v>136</v>
      </c>
      <c r="E33" s="11">
        <f t="shared" si="0"/>
        <v>-3.0000000000000027E-3</v>
      </c>
      <c r="F33" s="11" t="str">
        <f t="shared" si="1"/>
        <v>Elite Player/Run Producer</v>
      </c>
    </row>
    <row r="34" spans="1:6" ht="16" x14ac:dyDescent="0.2">
      <c r="A34" s="10" t="str">
        <f>Raw_Fangraphs!A34</f>
        <v>Brandon Lowe</v>
      </c>
      <c r="B34" s="11">
        <f>IFERROR(INDEX(Raw_Fangraphs!P$1:P$150, MATCH(Trade_Board!A34, Raw_Fangraphs!A$1:A$150,0)),"Not Found")</f>
        <v>0.34399999999999997</v>
      </c>
      <c r="C34" s="11">
        <f>IFERROR(INDEX(Raw_Fangraphs!Q$1:Q$150,MATCH(Trade_Board!A34,Raw_Fangraphs!A$1:A$150,0)),"Not Found")</f>
        <v>0.34300000000000003</v>
      </c>
      <c r="D34" s="11">
        <f>IFERROR(INDEX(Raw_Fangraphs!R$1:R$150,MATCH(Trade_Board!A34,Raw_Fangraphs!A$1:A$150,0)),"Not Found")</f>
        <v>115</v>
      </c>
      <c r="E34" s="11">
        <f t="shared" si="0"/>
        <v>-9.9999999999994538E-4</v>
      </c>
      <c r="F34" s="11" t="str">
        <f t="shared" si="1"/>
        <v>Solid Contributor</v>
      </c>
    </row>
    <row r="35" spans="1:6" ht="16" x14ac:dyDescent="0.2">
      <c r="A35" s="10" t="str">
        <f>Raw_Fangraphs!A35</f>
        <v>Kyle Schwarber</v>
      </c>
      <c r="B35" s="11">
        <f>IFERROR(INDEX(Raw_Fangraphs!P$1:P$150, MATCH(Trade_Board!A35, Raw_Fangraphs!A$1:A$150,0)),"Not Found")</f>
        <v>0.39500000000000002</v>
      </c>
      <c r="C35" s="11">
        <f>IFERROR(INDEX(Raw_Fangraphs!Q$1:Q$150,MATCH(Trade_Board!A35,Raw_Fangraphs!A$1:A$150,0)),"Not Found")</f>
        <v>0.378</v>
      </c>
      <c r="D35" s="11">
        <f>IFERROR(INDEX(Raw_Fangraphs!R$1:R$150,MATCH(Trade_Board!A35,Raw_Fangraphs!A$1:A$150,0)),"Not Found")</f>
        <v>149</v>
      </c>
      <c r="E35" s="11">
        <f t="shared" si="0"/>
        <v>-1.7000000000000015E-2</v>
      </c>
      <c r="F35" s="11" t="str">
        <f t="shared" si="1"/>
        <v>Elite Player/Run Producer</v>
      </c>
    </row>
    <row r="36" spans="1:6" ht="16" x14ac:dyDescent="0.2">
      <c r="A36" s="10" t="str">
        <f>Raw_Fangraphs!A36</f>
        <v>Cody Bellinger</v>
      </c>
      <c r="B36" s="11">
        <f>IFERROR(INDEX(Raw_Fangraphs!P$1:P$150, MATCH(Trade_Board!A36, Raw_Fangraphs!A$1:A$150,0)),"Not Found")</f>
        <v>0.33700000000000002</v>
      </c>
      <c r="C36" s="11">
        <f>IFERROR(INDEX(Raw_Fangraphs!Q$1:Q$150,MATCH(Trade_Board!A36,Raw_Fangraphs!A$1:A$150,0)),"Not Found")</f>
        <v>0.34899999999999998</v>
      </c>
      <c r="D36" s="11">
        <f>IFERROR(INDEX(Raw_Fangraphs!R$1:R$150,MATCH(Trade_Board!A36,Raw_Fangraphs!A$1:A$150,0)),"Not Found")</f>
        <v>116</v>
      </c>
      <c r="E36" s="11">
        <f t="shared" si="0"/>
        <v>1.1999999999999955E-2</v>
      </c>
      <c r="F36" s="11" t="str">
        <f t="shared" si="1"/>
        <v>Unlucky, Yet Above Average Production</v>
      </c>
    </row>
    <row r="37" spans="1:6" ht="16" x14ac:dyDescent="0.2">
      <c r="A37" s="10" t="str">
        <f>Raw_Fangraphs!A37</f>
        <v>Yandy Díaz</v>
      </c>
      <c r="B37" s="11">
        <f>IFERROR(INDEX(Raw_Fangraphs!P$1:P$150, MATCH(Trade_Board!A37, Raw_Fangraphs!A$1:A$150,0)),"Not Found")</f>
        <v>0.38600000000000001</v>
      </c>
      <c r="C37" s="11">
        <f>IFERROR(INDEX(Raw_Fangraphs!Q$1:Q$150,MATCH(Trade_Board!A37,Raw_Fangraphs!A$1:A$150,0)),"Not Found")</f>
        <v>0.36499999999999999</v>
      </c>
      <c r="D37" s="11">
        <f>IFERROR(INDEX(Raw_Fangraphs!R$1:R$150,MATCH(Trade_Board!A37,Raw_Fangraphs!A$1:A$150,0)),"Not Found")</f>
        <v>148</v>
      </c>
      <c r="E37" s="11">
        <f t="shared" si="0"/>
        <v>-2.1000000000000019E-2</v>
      </c>
      <c r="F37" s="11" t="str">
        <f t="shared" si="1"/>
        <v>Elite Player/Run Producer</v>
      </c>
    </row>
    <row r="38" spans="1:6" ht="16" x14ac:dyDescent="0.2">
      <c r="A38" s="10" t="str">
        <f>Raw_Fangraphs!A38</f>
        <v>CJ Abrams</v>
      </c>
      <c r="B38" s="11">
        <f>IFERROR(INDEX(Raw_Fangraphs!P$1:P$150, MATCH(Trade_Board!A38, Raw_Fangraphs!A$1:A$150,0)),"Not Found")</f>
        <v>0.36899999999999999</v>
      </c>
      <c r="C38" s="11">
        <f>IFERROR(INDEX(Raw_Fangraphs!Q$1:Q$150,MATCH(Trade_Board!A38,Raw_Fangraphs!A$1:A$150,0)),"Not Found")</f>
        <v>0.34100000000000003</v>
      </c>
      <c r="D38" s="11">
        <f>IFERROR(INDEX(Raw_Fangraphs!R$1:R$150,MATCH(Trade_Board!A38,Raw_Fangraphs!A$1:A$150,0)),"Not Found")</f>
        <v>134</v>
      </c>
      <c r="E38" s="11">
        <f t="shared" si="0"/>
        <v>-2.7999999999999969E-2</v>
      </c>
      <c r="F38" s="11" t="str">
        <f t="shared" si="1"/>
        <v>Elite Player/Run Producer</v>
      </c>
    </row>
    <row r="39" spans="1:6" ht="16" x14ac:dyDescent="0.2">
      <c r="A39" s="10" t="str">
        <f>Raw_Fangraphs!A39</f>
        <v>Michael Harris II</v>
      </c>
      <c r="B39" s="11">
        <f>IFERROR(INDEX(Raw_Fangraphs!P$1:P$150, MATCH(Trade_Board!A39, Raw_Fangraphs!A$1:A$150,0)),"Not Found")</f>
        <v>0.35199999999999998</v>
      </c>
      <c r="C39" s="11">
        <f>IFERROR(INDEX(Raw_Fangraphs!Q$1:Q$150,MATCH(Trade_Board!A39,Raw_Fangraphs!A$1:A$150,0)),"Not Found")</f>
        <v>0.36499999999999999</v>
      </c>
      <c r="D39" s="11">
        <f>IFERROR(INDEX(Raw_Fangraphs!R$1:R$150,MATCH(Trade_Board!A39,Raw_Fangraphs!A$1:A$150,0)),"Not Found")</f>
        <v>122</v>
      </c>
      <c r="E39" s="11">
        <f t="shared" si="0"/>
        <v>1.3000000000000012E-2</v>
      </c>
      <c r="F39" s="11" t="str">
        <f t="shared" si="1"/>
        <v>Unlucky, Yet Above Average Production</v>
      </c>
    </row>
    <row r="40" spans="1:6" ht="16" x14ac:dyDescent="0.2">
      <c r="A40" s="10" t="str">
        <f>Raw_Fangraphs!A40</f>
        <v>Mike Trout</v>
      </c>
      <c r="B40" s="11">
        <f>IFERROR(INDEX(Raw_Fangraphs!P$1:P$150, MATCH(Trade_Board!A40, Raw_Fangraphs!A$1:A$150,0)),"Not Found")</f>
        <v>0.374</v>
      </c>
      <c r="C40" s="11">
        <f>IFERROR(INDEX(Raw_Fangraphs!Q$1:Q$150,MATCH(Trade_Board!A40,Raw_Fangraphs!A$1:A$150,0)),"Not Found")</f>
        <v>0.41</v>
      </c>
      <c r="D40" s="11">
        <f>IFERROR(INDEX(Raw_Fangraphs!R$1:R$150,MATCH(Trade_Board!A40,Raw_Fangraphs!A$1:A$150,0)),"Not Found")</f>
        <v>139</v>
      </c>
      <c r="E40" s="11">
        <f t="shared" si="0"/>
        <v>3.5999999999999976E-2</v>
      </c>
      <c r="F40" s="11" t="str">
        <f t="shared" si="1"/>
        <v>Elite Player/Run Producer</v>
      </c>
    </row>
    <row r="41" spans="1:6" ht="16" x14ac:dyDescent="0.2">
      <c r="A41" s="10" t="str">
        <f>Raw_Fangraphs!A41</f>
        <v>Jonathan Aranda</v>
      </c>
      <c r="B41" s="11">
        <f>IFERROR(INDEX(Raw_Fangraphs!P$1:P$150, MATCH(Trade_Board!A41, Raw_Fangraphs!A$1:A$150,0)),"Not Found")</f>
        <v>0.376</v>
      </c>
      <c r="C41" s="11">
        <f>IFERROR(INDEX(Raw_Fangraphs!Q$1:Q$150,MATCH(Trade_Board!A41,Raw_Fangraphs!A$1:A$150,0)),"Not Found")</f>
        <v>0.372</v>
      </c>
      <c r="D41" s="11">
        <f>IFERROR(INDEX(Raw_Fangraphs!R$1:R$150,MATCH(Trade_Board!A41,Raw_Fangraphs!A$1:A$150,0)),"Not Found")</f>
        <v>141</v>
      </c>
      <c r="E41" s="11">
        <f t="shared" si="0"/>
        <v>-4.0000000000000036E-3</v>
      </c>
      <c r="F41" s="11" t="str">
        <f t="shared" si="1"/>
        <v>Elite Player/Run Producer</v>
      </c>
    </row>
    <row r="42" spans="1:6" ht="16" x14ac:dyDescent="0.2">
      <c r="A42" s="10" t="str">
        <f>Raw_Fangraphs!A42</f>
        <v>Ezequiel Duran</v>
      </c>
      <c r="B42" s="11">
        <f>IFERROR(INDEX(Raw_Fangraphs!P$1:P$150, MATCH(Trade_Board!A42, Raw_Fangraphs!A$1:A$150,0)),"Not Found")</f>
        <v>0.33100000000000002</v>
      </c>
      <c r="C42" s="11">
        <f>IFERROR(INDEX(Raw_Fangraphs!Q$1:Q$150,MATCH(Trade_Board!A42,Raw_Fangraphs!A$1:A$150,0)),"Not Found")</f>
        <v>0.30599999999999999</v>
      </c>
      <c r="D42" s="11">
        <f>IFERROR(INDEX(Raw_Fangraphs!R$1:R$150,MATCH(Trade_Board!A42,Raw_Fangraphs!A$1:A$150,0)),"Not Found")</f>
        <v>112</v>
      </c>
      <c r="E42" s="11">
        <f t="shared" si="0"/>
        <v>-2.5000000000000022E-2</v>
      </c>
      <c r="F42" s="11" t="str">
        <f t="shared" si="1"/>
        <v>Solid Contributor</v>
      </c>
    </row>
    <row r="43" spans="1:6" ht="16" x14ac:dyDescent="0.2">
      <c r="A43" s="10" t="str">
        <f>Raw_Fangraphs!A43</f>
        <v>Colson Montgomery</v>
      </c>
      <c r="B43" s="11">
        <f>IFERROR(INDEX(Raw_Fangraphs!P$1:P$150, MATCH(Trade_Board!A43, Raw_Fangraphs!A$1:A$150,0)),"Not Found")</f>
        <v>0.33100000000000002</v>
      </c>
      <c r="C43" s="11">
        <f>IFERROR(INDEX(Raw_Fangraphs!Q$1:Q$150,MATCH(Trade_Board!A43,Raw_Fangraphs!A$1:A$150,0)),"Not Found")</f>
        <v>0.32400000000000001</v>
      </c>
      <c r="D43" s="11">
        <f>IFERROR(INDEX(Raw_Fangraphs!R$1:R$150,MATCH(Trade_Board!A43,Raw_Fangraphs!A$1:A$150,0)),"Not Found")</f>
        <v>111</v>
      </c>
      <c r="E43" s="11">
        <f t="shared" si="0"/>
        <v>-7.0000000000000062E-3</v>
      </c>
      <c r="F43" s="11" t="str">
        <f t="shared" si="1"/>
        <v>Solid Contributor</v>
      </c>
    </row>
    <row r="44" spans="1:6" ht="16" x14ac:dyDescent="0.2">
      <c r="A44" s="10" t="str">
        <f>Raw_Fangraphs!A44</f>
        <v>Dansby Swanson</v>
      </c>
      <c r="B44" s="11">
        <f>IFERROR(INDEX(Raw_Fangraphs!P$1:P$150, MATCH(Trade_Board!A44, Raw_Fangraphs!A$1:A$150,0)),"Not Found")</f>
        <v>0.308</v>
      </c>
      <c r="C44" s="11">
        <f>IFERROR(INDEX(Raw_Fangraphs!Q$1:Q$150,MATCH(Trade_Board!A44,Raw_Fangraphs!A$1:A$150,0)),"Not Found")</f>
        <v>0.29899999999999999</v>
      </c>
      <c r="D44" s="11">
        <f>IFERROR(INDEX(Raw_Fangraphs!R$1:R$150,MATCH(Trade_Board!A44,Raw_Fangraphs!A$1:A$150,0)),"Not Found")</f>
        <v>95</v>
      </c>
      <c r="E44" s="11">
        <f t="shared" si="0"/>
        <v>-9.000000000000008E-3</v>
      </c>
      <c r="F44" s="11" t="str">
        <f t="shared" si="1"/>
        <v>Solid Contributor</v>
      </c>
    </row>
    <row r="45" spans="1:6" ht="16" x14ac:dyDescent="0.2">
      <c r="A45" s="10" t="str">
        <f>Raw_Fangraphs!A45</f>
        <v>Pete Alonso</v>
      </c>
      <c r="B45" s="11">
        <f>IFERROR(INDEX(Raw_Fangraphs!P$1:P$150, MATCH(Trade_Board!A45, Raw_Fangraphs!A$1:A$150,0)),"Not Found")</f>
        <v>0.35499999999999998</v>
      </c>
      <c r="C45" s="11">
        <f>IFERROR(INDEX(Raw_Fangraphs!Q$1:Q$150,MATCH(Trade_Board!A45,Raw_Fangraphs!A$1:A$150,0)),"Not Found")</f>
        <v>0.379</v>
      </c>
      <c r="D45" s="11">
        <f>IFERROR(INDEX(Raw_Fangraphs!R$1:R$150,MATCH(Trade_Board!A45,Raw_Fangraphs!A$1:A$150,0)),"Not Found")</f>
        <v>129</v>
      </c>
      <c r="E45" s="11">
        <f t="shared" si="0"/>
        <v>2.4000000000000021E-2</v>
      </c>
      <c r="F45" s="11" t="str">
        <f t="shared" si="1"/>
        <v>Elite Player/Run Producer</v>
      </c>
    </row>
    <row r="46" spans="1:6" ht="16" x14ac:dyDescent="0.2">
      <c r="A46" s="10" t="str">
        <f>Raw_Fangraphs!A46</f>
        <v>José Ramírez</v>
      </c>
      <c r="B46" s="11">
        <f>IFERROR(INDEX(Raw_Fangraphs!P$1:P$150, MATCH(Trade_Board!A46, Raw_Fangraphs!A$1:A$150,0)),"Not Found")</f>
        <v>0.32800000000000001</v>
      </c>
      <c r="C46" s="11">
        <f>IFERROR(INDEX(Raw_Fangraphs!Q$1:Q$150,MATCH(Trade_Board!A46,Raw_Fangraphs!A$1:A$150,0)),"Not Found")</f>
        <v>0.35499999999999998</v>
      </c>
      <c r="D46" s="11">
        <f>IFERROR(INDEX(Raw_Fangraphs!R$1:R$150,MATCH(Trade_Board!A46,Raw_Fangraphs!A$1:A$150,0)),"Not Found")</f>
        <v>110</v>
      </c>
      <c r="E46" s="11">
        <f t="shared" si="0"/>
        <v>2.6999999999999968E-2</v>
      </c>
      <c r="F46" s="11" t="str">
        <f t="shared" si="1"/>
        <v>Unlucky, Yet Above Average Production</v>
      </c>
    </row>
    <row r="47" spans="1:6" ht="16" x14ac:dyDescent="0.2">
      <c r="A47" s="10" t="str">
        <f>Raw_Fangraphs!A47</f>
        <v>Kazuma Okamoto</v>
      </c>
      <c r="B47" s="11">
        <f>IFERROR(INDEX(Raw_Fangraphs!P$1:P$150, MATCH(Trade_Board!A47, Raw_Fangraphs!A$1:A$150,0)),"Not Found")</f>
        <v>0.34200000000000003</v>
      </c>
      <c r="C47" s="11">
        <f>IFERROR(INDEX(Raw_Fangraphs!Q$1:Q$150,MATCH(Trade_Board!A47,Raw_Fangraphs!A$1:A$150,0)),"Not Found")</f>
        <v>0.32600000000000001</v>
      </c>
      <c r="D47" s="11">
        <f>IFERROR(INDEX(Raw_Fangraphs!R$1:R$150,MATCH(Trade_Board!A47,Raw_Fangraphs!A$1:A$150,0)),"Not Found")</f>
        <v>119</v>
      </c>
      <c r="E47" s="11">
        <f t="shared" si="0"/>
        <v>-1.6000000000000014E-2</v>
      </c>
      <c r="F47" s="11" t="str">
        <f t="shared" si="1"/>
        <v>Solid Contributor</v>
      </c>
    </row>
    <row r="48" spans="1:6" ht="16" x14ac:dyDescent="0.2">
      <c r="A48" s="10" t="str">
        <f>Raw_Fangraphs!A48</f>
        <v>Shea Langeliers</v>
      </c>
      <c r="B48" s="11">
        <f>IFERROR(INDEX(Raw_Fangraphs!P$1:P$150, MATCH(Trade_Board!A48, Raw_Fangraphs!A$1:A$150,0)),"Not Found")</f>
        <v>0.34699999999999998</v>
      </c>
      <c r="C48" s="11">
        <f>IFERROR(INDEX(Raw_Fangraphs!Q$1:Q$150,MATCH(Trade_Board!A48,Raw_Fangraphs!A$1:A$150,0)),"Not Found")</f>
        <v>0.35699999999999998</v>
      </c>
      <c r="D48" s="11">
        <f>IFERROR(INDEX(Raw_Fangraphs!R$1:R$150,MATCH(Trade_Board!A48,Raw_Fangraphs!A$1:A$150,0)),"Not Found")</f>
        <v>120</v>
      </c>
      <c r="E48" s="11">
        <f t="shared" si="0"/>
        <v>1.0000000000000009E-2</v>
      </c>
      <c r="F48" s="11" t="str">
        <f t="shared" si="1"/>
        <v>Unlucky, Yet Above Average Production</v>
      </c>
    </row>
    <row r="49" spans="1:6" ht="16" x14ac:dyDescent="0.2">
      <c r="A49" s="10" t="str">
        <f>Raw_Fangraphs!A49</f>
        <v>Jazz Chisholm Jr.</v>
      </c>
      <c r="B49" s="11">
        <f>IFERROR(INDEX(Raw_Fangraphs!P$1:P$150, MATCH(Trade_Board!A49, Raw_Fangraphs!A$1:A$150,0)),"Not Found")</f>
        <v>0.30599999999999999</v>
      </c>
      <c r="C49" s="11">
        <f>IFERROR(INDEX(Raw_Fangraphs!Q$1:Q$150,MATCH(Trade_Board!A49,Raw_Fangraphs!A$1:A$150,0)),"Not Found")</f>
        <v>0.28999999999999998</v>
      </c>
      <c r="D49" s="11">
        <f>IFERROR(INDEX(Raw_Fangraphs!R$1:R$150,MATCH(Trade_Board!A49,Raw_Fangraphs!A$1:A$150,0)),"Not Found")</f>
        <v>95</v>
      </c>
      <c r="E49" s="11">
        <f t="shared" si="0"/>
        <v>-1.6000000000000014E-2</v>
      </c>
      <c r="F49" s="11" t="str">
        <f t="shared" si="1"/>
        <v>Solid Contributor</v>
      </c>
    </row>
    <row r="50" spans="1:6" ht="16" x14ac:dyDescent="0.2">
      <c r="A50" s="10" t="str">
        <f>Raw_Fangraphs!A50</f>
        <v>Isaac Paredes</v>
      </c>
      <c r="B50" s="11">
        <f>IFERROR(INDEX(Raw_Fangraphs!P$1:P$150, MATCH(Trade_Board!A50, Raw_Fangraphs!A$1:A$150,0)),"Not Found")</f>
        <v>0.34</v>
      </c>
      <c r="C50" s="11">
        <f>IFERROR(INDEX(Raw_Fangraphs!Q$1:Q$150,MATCH(Trade_Board!A50,Raw_Fangraphs!A$1:A$150,0)),"Not Found")</f>
        <v>0.316</v>
      </c>
      <c r="D50" s="11">
        <f>IFERROR(INDEX(Raw_Fangraphs!R$1:R$150,MATCH(Trade_Board!A50,Raw_Fangraphs!A$1:A$150,0)),"Not Found")</f>
        <v>118</v>
      </c>
      <c r="E50" s="11">
        <f t="shared" si="0"/>
        <v>-2.4000000000000021E-2</v>
      </c>
      <c r="F50" s="11" t="str">
        <f t="shared" si="1"/>
        <v>Solid Contributor</v>
      </c>
    </row>
    <row r="51" spans="1:6" ht="16" x14ac:dyDescent="0.2">
      <c r="A51" s="10" t="str">
        <f>Raw_Fangraphs!A51</f>
        <v>Mauricio Dubón</v>
      </c>
      <c r="B51" s="11">
        <f>IFERROR(INDEX(Raw_Fangraphs!P$1:P$150, MATCH(Trade_Board!A51, Raw_Fangraphs!A$1:A$150,0)),"Not Found")</f>
        <v>0.32400000000000001</v>
      </c>
      <c r="C51" s="11">
        <f>IFERROR(INDEX(Raw_Fangraphs!Q$1:Q$150,MATCH(Trade_Board!A51,Raw_Fangraphs!A$1:A$150,0)),"Not Found")</f>
        <v>0.31900000000000001</v>
      </c>
      <c r="D51" s="11">
        <f>IFERROR(INDEX(Raw_Fangraphs!R$1:R$150,MATCH(Trade_Board!A51,Raw_Fangraphs!A$1:A$150,0)),"Not Found")</f>
        <v>103</v>
      </c>
      <c r="E51" s="11">
        <f t="shared" si="0"/>
        <v>-5.0000000000000044E-3</v>
      </c>
      <c r="F51" s="11" t="str">
        <f t="shared" si="1"/>
        <v>Solid Contributor</v>
      </c>
    </row>
    <row r="52" spans="1:6" ht="16" x14ac:dyDescent="0.2">
      <c r="A52" s="10" t="str">
        <f>Raw_Fangraphs!A52</f>
        <v>Geraldo Perdomo</v>
      </c>
      <c r="B52" s="11">
        <f>IFERROR(INDEX(Raw_Fangraphs!P$1:P$150, MATCH(Trade_Board!A52, Raw_Fangraphs!A$1:A$150,0)),"Not Found")</f>
        <v>0.32200000000000001</v>
      </c>
      <c r="C52" s="11">
        <f>IFERROR(INDEX(Raw_Fangraphs!Q$1:Q$150,MATCH(Trade_Board!A52,Raw_Fangraphs!A$1:A$150,0)),"Not Found")</f>
        <v>0.32800000000000001</v>
      </c>
      <c r="D52" s="11">
        <f>IFERROR(INDEX(Raw_Fangraphs!R$1:R$150,MATCH(Trade_Board!A52,Raw_Fangraphs!A$1:A$150,0)),"Not Found")</f>
        <v>101</v>
      </c>
      <c r="E52" s="11">
        <f t="shared" si="0"/>
        <v>6.0000000000000053E-3</v>
      </c>
      <c r="F52" s="11" t="str">
        <f t="shared" si="1"/>
        <v>Unlucky, Yet Above Average Production</v>
      </c>
    </row>
    <row r="53" spans="1:6" ht="16" x14ac:dyDescent="0.2">
      <c r="A53" s="10" t="str">
        <f>Raw_Fangraphs!A53</f>
        <v>Hunter Goodman</v>
      </c>
      <c r="B53" s="11">
        <f>IFERROR(INDEX(Raw_Fangraphs!P$1:P$150, MATCH(Trade_Board!A53, Raw_Fangraphs!A$1:A$150,0)),"Not Found")</f>
        <v>0.36599999999999999</v>
      </c>
      <c r="C53" s="11">
        <f>IFERROR(INDEX(Raw_Fangraphs!Q$1:Q$150,MATCH(Trade_Board!A53,Raw_Fangraphs!A$1:A$150,0)),"Not Found")</f>
        <v>0.33400000000000002</v>
      </c>
      <c r="D53" s="11">
        <f>IFERROR(INDEX(Raw_Fangraphs!R$1:R$150,MATCH(Trade_Board!A53,Raw_Fangraphs!A$1:A$150,0)),"Not Found")</f>
        <v>118</v>
      </c>
      <c r="E53" s="11">
        <f t="shared" si="0"/>
        <v>-3.1999999999999973E-2</v>
      </c>
      <c r="F53" s="11" t="str">
        <f t="shared" si="1"/>
        <v>Solid Contributor</v>
      </c>
    </row>
    <row r="54" spans="1:6" ht="16" x14ac:dyDescent="0.2">
      <c r="A54" s="10" t="str">
        <f>Raw_Fangraphs!A54</f>
        <v>Zach Neto</v>
      </c>
      <c r="B54" s="11">
        <f>IFERROR(INDEX(Raw_Fangraphs!P$1:P$150, MATCH(Trade_Board!A54, Raw_Fangraphs!A$1:A$150,0)),"Not Found")</f>
        <v>0.33900000000000002</v>
      </c>
      <c r="C54" s="11">
        <f>IFERROR(INDEX(Raw_Fangraphs!Q$1:Q$150,MATCH(Trade_Board!A54,Raw_Fangraphs!A$1:A$150,0)),"Not Found")</f>
        <v>0.313</v>
      </c>
      <c r="D54" s="11">
        <f>IFERROR(INDEX(Raw_Fangraphs!R$1:R$150,MATCH(Trade_Board!A54,Raw_Fangraphs!A$1:A$150,0)),"Not Found")</f>
        <v>116</v>
      </c>
      <c r="E54" s="11">
        <f t="shared" si="0"/>
        <v>-2.6000000000000023E-2</v>
      </c>
      <c r="F54" s="11" t="str">
        <f t="shared" si="1"/>
        <v>Solid Contributor</v>
      </c>
    </row>
    <row r="55" spans="1:6" ht="16" x14ac:dyDescent="0.2">
      <c r="A55" s="10" t="str">
        <f>Raw_Fangraphs!A55</f>
        <v>Jake Bauers</v>
      </c>
      <c r="B55" s="11">
        <f>IFERROR(INDEX(Raw_Fangraphs!P$1:P$150, MATCH(Trade_Board!A55, Raw_Fangraphs!A$1:A$150,0)),"Not Found")</f>
        <v>0.38</v>
      </c>
      <c r="C55" s="11">
        <f>IFERROR(INDEX(Raw_Fangraphs!Q$1:Q$150,MATCH(Trade_Board!A55,Raw_Fangraphs!A$1:A$150,0)),"Not Found")</f>
        <v>0.36399999999999999</v>
      </c>
      <c r="D55" s="11">
        <f>IFERROR(INDEX(Raw_Fangraphs!R$1:R$150,MATCH(Trade_Board!A55,Raw_Fangraphs!A$1:A$150,0)),"Not Found")</f>
        <v>142</v>
      </c>
      <c r="E55" s="11">
        <f t="shared" si="0"/>
        <v>-1.6000000000000014E-2</v>
      </c>
      <c r="F55" s="11" t="str">
        <f t="shared" si="1"/>
        <v>Elite Player/Run Producer</v>
      </c>
    </row>
    <row r="56" spans="1:6" ht="16" x14ac:dyDescent="0.2">
      <c r="A56" s="10" t="str">
        <f>Raw_Fangraphs!A56</f>
        <v>Garrett Mitchell</v>
      </c>
      <c r="B56" s="11">
        <f>IFERROR(INDEX(Raw_Fangraphs!P$1:P$150, MATCH(Trade_Board!A56, Raw_Fangraphs!A$1:A$150,0)),"Not Found")</f>
        <v>0.35899999999999999</v>
      </c>
      <c r="C56" s="11">
        <f>IFERROR(INDEX(Raw_Fangraphs!Q$1:Q$150,MATCH(Trade_Board!A56,Raw_Fangraphs!A$1:A$150,0)),"Not Found")</f>
        <v>0.35599999999999998</v>
      </c>
      <c r="D56" s="11">
        <f>IFERROR(INDEX(Raw_Fangraphs!R$1:R$150,MATCH(Trade_Board!A56,Raw_Fangraphs!A$1:A$150,0)),"Not Found")</f>
        <v>128</v>
      </c>
      <c r="E56" s="11">
        <f t="shared" si="0"/>
        <v>-3.0000000000000027E-3</v>
      </c>
      <c r="F56" s="11" t="str">
        <f t="shared" si="1"/>
        <v>Elite Player/Run Producer</v>
      </c>
    </row>
    <row r="57" spans="1:6" ht="16" x14ac:dyDescent="0.2">
      <c r="A57" s="10" t="str">
        <f>Raw_Fangraphs!A57</f>
        <v>Wilyer Abreu</v>
      </c>
      <c r="B57" s="11">
        <f>IFERROR(INDEX(Raw_Fangraphs!P$1:P$150, MATCH(Trade_Board!A57, Raw_Fangraphs!A$1:A$150,0)),"Not Found")</f>
        <v>0.33100000000000002</v>
      </c>
      <c r="C57" s="11">
        <f>IFERROR(INDEX(Raw_Fangraphs!Q$1:Q$150,MATCH(Trade_Board!A57,Raw_Fangraphs!A$1:A$150,0)),"Not Found")</f>
        <v>0.33900000000000002</v>
      </c>
      <c r="D57" s="11">
        <f>IFERROR(INDEX(Raw_Fangraphs!R$1:R$150,MATCH(Trade_Board!A57,Raw_Fangraphs!A$1:A$150,0)),"Not Found")</f>
        <v>107</v>
      </c>
      <c r="E57" s="11">
        <f t="shared" si="0"/>
        <v>8.0000000000000071E-3</v>
      </c>
      <c r="F57" s="11" t="str">
        <f t="shared" si="1"/>
        <v>Unlucky, Yet Above Average Production</v>
      </c>
    </row>
    <row r="58" spans="1:6" ht="16" x14ac:dyDescent="0.2">
      <c r="A58" s="10" t="str">
        <f>Raw_Fangraphs!A58</f>
        <v>Gunnar Henderson</v>
      </c>
      <c r="B58" s="11">
        <f>IFERROR(INDEX(Raw_Fangraphs!P$1:P$150, MATCH(Trade_Board!A58, Raw_Fangraphs!A$1:A$150,0)),"Not Found")</f>
        <v>0.30499999999999999</v>
      </c>
      <c r="C58" s="11">
        <f>IFERROR(INDEX(Raw_Fangraphs!Q$1:Q$150,MATCH(Trade_Board!A58,Raw_Fangraphs!A$1:A$150,0)),"Not Found")</f>
        <v>0.308</v>
      </c>
      <c r="D58" s="11">
        <f>IFERROR(INDEX(Raw_Fangraphs!R$1:R$150,MATCH(Trade_Board!A58,Raw_Fangraphs!A$1:A$150,0)),"Not Found")</f>
        <v>95</v>
      </c>
      <c r="E58" s="11">
        <f t="shared" si="0"/>
        <v>3.0000000000000027E-3</v>
      </c>
      <c r="F58" s="11" t="str">
        <f t="shared" si="1"/>
        <v>Buy-Low/Unlucky And Below Average Production</v>
      </c>
    </row>
    <row r="59" spans="1:6" ht="16" x14ac:dyDescent="0.2">
      <c r="A59" s="10" t="str">
        <f>Raw_Fangraphs!A59</f>
        <v>Seiya Suzuki</v>
      </c>
      <c r="B59" s="11">
        <f>IFERROR(INDEX(Raw_Fangraphs!P$1:P$150, MATCH(Trade_Board!A59, Raw_Fangraphs!A$1:A$150,0)),"Not Found")</f>
        <v>0.35</v>
      </c>
      <c r="C59" s="11">
        <f>IFERROR(INDEX(Raw_Fangraphs!Q$1:Q$150,MATCH(Trade_Board!A59,Raw_Fangraphs!A$1:A$150,0)),"Not Found")</f>
        <v>0.33100000000000002</v>
      </c>
      <c r="D59" s="11">
        <f>IFERROR(INDEX(Raw_Fangraphs!R$1:R$150,MATCH(Trade_Board!A59,Raw_Fangraphs!A$1:A$150,0)),"Not Found")</f>
        <v>123</v>
      </c>
      <c r="E59" s="11">
        <f t="shared" si="0"/>
        <v>-1.8999999999999961E-2</v>
      </c>
      <c r="F59" s="11" t="str">
        <f t="shared" si="1"/>
        <v>Solid Contributor</v>
      </c>
    </row>
    <row r="60" spans="1:6" ht="16" x14ac:dyDescent="0.2">
      <c r="A60" s="10" t="str">
        <f>Raw_Fangraphs!A60</f>
        <v>Nick Gonzales</v>
      </c>
      <c r="B60" s="11">
        <f>IFERROR(INDEX(Raw_Fangraphs!P$1:P$150, MATCH(Trade_Board!A60, Raw_Fangraphs!A$1:A$150,0)),"Not Found")</f>
        <v>0.34</v>
      </c>
      <c r="C60" s="11">
        <f>IFERROR(INDEX(Raw_Fangraphs!Q$1:Q$150,MATCH(Trade_Board!A60,Raw_Fangraphs!A$1:A$150,0)),"Not Found")</f>
        <v>0.32800000000000001</v>
      </c>
      <c r="D60" s="11">
        <f>IFERROR(INDEX(Raw_Fangraphs!R$1:R$150,MATCH(Trade_Board!A60,Raw_Fangraphs!A$1:A$150,0)),"Not Found")</f>
        <v>113</v>
      </c>
      <c r="E60" s="11">
        <f t="shared" si="0"/>
        <v>-1.2000000000000011E-2</v>
      </c>
      <c r="F60" s="11" t="str">
        <f t="shared" si="1"/>
        <v>Solid Contributor</v>
      </c>
    </row>
    <row r="61" spans="1:6" ht="16" x14ac:dyDescent="0.2">
      <c r="A61" s="10" t="str">
        <f>Raw_Fangraphs!A61</f>
        <v>Julio Rodríguez</v>
      </c>
      <c r="B61" s="11">
        <f>IFERROR(INDEX(Raw_Fangraphs!P$1:P$150, MATCH(Trade_Board!A61, Raw_Fangraphs!A$1:A$150,0)),"Not Found")</f>
        <v>0.32700000000000001</v>
      </c>
      <c r="C61" s="11">
        <f>IFERROR(INDEX(Raw_Fangraphs!Q$1:Q$150,MATCH(Trade_Board!A61,Raw_Fangraphs!A$1:A$150,0)),"Not Found")</f>
        <v>0.35</v>
      </c>
      <c r="D61" s="11">
        <f>IFERROR(INDEX(Raw_Fangraphs!R$1:R$150,MATCH(Trade_Board!A61,Raw_Fangraphs!A$1:A$150,0)),"Not Found")</f>
        <v>115</v>
      </c>
      <c r="E61" s="11">
        <f t="shared" si="0"/>
        <v>2.2999999999999965E-2</v>
      </c>
      <c r="F61" s="11" t="str">
        <f t="shared" si="1"/>
        <v>Unlucky, Yet Above Average Production</v>
      </c>
    </row>
    <row r="62" spans="1:6" ht="16" x14ac:dyDescent="0.2">
      <c r="A62" s="10" t="str">
        <f>Raw_Fangraphs!A62</f>
        <v>Casey Schmitt</v>
      </c>
      <c r="B62" s="11">
        <f>IFERROR(INDEX(Raw_Fangraphs!P$1:P$150, MATCH(Trade_Board!A62, Raw_Fangraphs!A$1:A$150,0)),"Not Found")</f>
        <v>0.34499999999999997</v>
      </c>
      <c r="C62" s="11">
        <f>IFERROR(INDEX(Raw_Fangraphs!Q$1:Q$150,MATCH(Trade_Board!A62,Raw_Fangraphs!A$1:A$150,0)),"Not Found")</f>
        <v>0.36099999999999999</v>
      </c>
      <c r="D62" s="11">
        <f>IFERROR(INDEX(Raw_Fangraphs!R$1:R$150,MATCH(Trade_Board!A62,Raw_Fangraphs!A$1:A$150,0)),"Not Found")</f>
        <v>120</v>
      </c>
      <c r="E62" s="11">
        <f t="shared" si="0"/>
        <v>1.6000000000000014E-2</v>
      </c>
      <c r="F62" s="11" t="str">
        <f t="shared" si="1"/>
        <v>Unlucky, Yet Above Average Production</v>
      </c>
    </row>
    <row r="63" spans="1:6" ht="16" x14ac:dyDescent="0.2">
      <c r="A63" s="10" t="str">
        <f>Raw_Fangraphs!A63</f>
        <v>Ketel Marte</v>
      </c>
      <c r="B63" s="11">
        <f>IFERROR(INDEX(Raw_Fangraphs!P$1:P$150, MATCH(Trade_Board!A63, Raw_Fangraphs!A$1:A$150,0)),"Not Found")</f>
        <v>0.33200000000000002</v>
      </c>
      <c r="C63" s="11">
        <f>IFERROR(INDEX(Raw_Fangraphs!Q$1:Q$150,MATCH(Trade_Board!A63,Raw_Fangraphs!A$1:A$150,0)),"Not Found")</f>
        <v>0.36399999999999999</v>
      </c>
      <c r="D63" s="11">
        <f>IFERROR(INDEX(Raw_Fangraphs!R$1:R$150,MATCH(Trade_Board!A63,Raw_Fangraphs!A$1:A$150,0)),"Not Found")</f>
        <v>108</v>
      </c>
      <c r="E63" s="11">
        <f t="shared" si="0"/>
        <v>3.1999999999999973E-2</v>
      </c>
      <c r="F63" s="11" t="str">
        <f t="shared" si="1"/>
        <v>Unlucky, Yet Above Average Production</v>
      </c>
    </row>
    <row r="64" spans="1:6" ht="16" x14ac:dyDescent="0.2">
      <c r="A64" s="10" t="str">
        <f>Raw_Fangraphs!A64</f>
        <v>Luis García Jr.</v>
      </c>
      <c r="B64" s="11">
        <f>IFERROR(INDEX(Raw_Fangraphs!P$1:P$150, MATCH(Trade_Board!A64, Raw_Fangraphs!A$1:A$150,0)),"Not Found")</f>
        <v>0.37</v>
      </c>
      <c r="C64" s="11">
        <f>IFERROR(INDEX(Raw_Fangraphs!Q$1:Q$150,MATCH(Trade_Board!A64,Raw_Fangraphs!A$1:A$150,0)),"Not Found")</f>
        <v>0.36099999999999999</v>
      </c>
      <c r="D64" s="11">
        <f>IFERROR(INDEX(Raw_Fangraphs!R$1:R$150,MATCH(Trade_Board!A64,Raw_Fangraphs!A$1:A$150,0)),"Not Found")</f>
        <v>135</v>
      </c>
      <c r="E64" s="11">
        <f t="shared" si="0"/>
        <v>-9.000000000000008E-3</v>
      </c>
      <c r="F64" s="11" t="str">
        <f t="shared" si="1"/>
        <v>Elite Player/Run Producer</v>
      </c>
    </row>
    <row r="65" spans="1:6" ht="16" x14ac:dyDescent="0.2">
      <c r="A65" s="10" t="str">
        <f>Raw_Fangraphs!A65</f>
        <v>Fernando Tatis Jr.</v>
      </c>
      <c r="B65" s="11">
        <f>IFERROR(INDEX(Raw_Fangraphs!P$1:P$150, MATCH(Trade_Board!A65, Raw_Fangraphs!A$1:A$150,0)),"Not Found")</f>
        <v>0.316</v>
      </c>
      <c r="C65" s="11">
        <f>IFERROR(INDEX(Raw_Fangraphs!Q$1:Q$150,MATCH(Trade_Board!A65,Raw_Fangraphs!A$1:A$150,0)),"Not Found")</f>
        <v>0.34599999999999997</v>
      </c>
      <c r="D65" s="11">
        <f>IFERROR(INDEX(Raw_Fangraphs!R$1:R$150,MATCH(Trade_Board!A65,Raw_Fangraphs!A$1:A$150,0)),"Not Found")</f>
        <v>102</v>
      </c>
      <c r="E65" s="11">
        <f t="shared" si="0"/>
        <v>2.9999999999999971E-2</v>
      </c>
      <c r="F65" s="11" t="str">
        <f t="shared" si="1"/>
        <v>Unlucky, Yet Above Average Production</v>
      </c>
    </row>
    <row r="66" spans="1:6" ht="16" x14ac:dyDescent="0.2">
      <c r="A66" s="10" t="str">
        <f>Raw_Fangraphs!A66</f>
        <v>Michael Busch</v>
      </c>
      <c r="B66" s="11">
        <f>IFERROR(INDEX(Raw_Fangraphs!P$1:P$150, MATCH(Trade_Board!A66, Raw_Fangraphs!A$1:A$150,0)),"Not Found")</f>
        <v>0.34200000000000003</v>
      </c>
      <c r="C66" s="11">
        <f>IFERROR(INDEX(Raw_Fangraphs!Q$1:Q$150,MATCH(Trade_Board!A66,Raw_Fangraphs!A$1:A$150,0)),"Not Found")</f>
        <v>0.34699999999999998</v>
      </c>
      <c r="D66" s="11">
        <f>IFERROR(INDEX(Raw_Fangraphs!R$1:R$150,MATCH(Trade_Board!A66,Raw_Fangraphs!A$1:A$150,0)),"Not Found")</f>
        <v>118</v>
      </c>
      <c r="E66" s="11">
        <f t="shared" si="0"/>
        <v>4.9999999999999489E-3</v>
      </c>
      <c r="F66" s="11" t="str">
        <f t="shared" si="1"/>
        <v>Unlucky, Yet Above Average Production</v>
      </c>
    </row>
    <row r="67" spans="1:6" ht="16" x14ac:dyDescent="0.2">
      <c r="A67" s="10" t="str">
        <f>Raw_Fangraphs!A67</f>
        <v>Chase Meidroth</v>
      </c>
      <c r="B67" s="11">
        <f>IFERROR(INDEX(Raw_Fangraphs!P$1:P$150, MATCH(Trade_Board!A67, Raw_Fangraphs!A$1:A$150,0)),"Not Found")</f>
        <v>0.32200000000000001</v>
      </c>
      <c r="C67" s="11">
        <f>IFERROR(INDEX(Raw_Fangraphs!Q$1:Q$150,MATCH(Trade_Board!A67,Raw_Fangraphs!A$1:A$150,0)),"Not Found")</f>
        <v>0.28999999999999998</v>
      </c>
      <c r="D67" s="11">
        <f>IFERROR(INDEX(Raw_Fangraphs!R$1:R$150,MATCH(Trade_Board!A67,Raw_Fangraphs!A$1:A$150,0)),"Not Found")</f>
        <v>104</v>
      </c>
      <c r="E67" s="11">
        <f t="shared" ref="E67:E130" si="2">C67-B67</f>
        <v>-3.2000000000000028E-2</v>
      </c>
      <c r="F67" s="11" t="str">
        <f t="shared" ref="F67:F130" si="3">IF(AND(E67&gt;=0,D67&lt;=100),"Buy-Low/Unlucky And Below Average Production",IF(AND(E67&gt;0,D67&lt;125,D67&gt;100),"Unlucky, Yet Above Average Production",IF(AND(E67&lt;0,D67&lt;125,D67&gt;90),"Solid Contributor",IF(D67&gt;=125,"Elite Player/Run Producer","Lucky Hitter With Low Production"))))</f>
        <v>Solid Contributor</v>
      </c>
    </row>
    <row r="68" spans="1:6" ht="16" x14ac:dyDescent="0.2">
      <c r="A68" s="10" t="str">
        <f>Raw_Fangraphs!A68</f>
        <v>Kyle Karros</v>
      </c>
      <c r="B68" s="11">
        <f>IFERROR(INDEX(Raw_Fangraphs!P$1:P$150, MATCH(Trade_Board!A68, Raw_Fangraphs!A$1:A$150,0)),"Not Found")</f>
        <v>0.34899999999999998</v>
      </c>
      <c r="C68" s="11">
        <f>IFERROR(INDEX(Raw_Fangraphs!Q$1:Q$150,MATCH(Trade_Board!A68,Raw_Fangraphs!A$1:A$150,0)),"Not Found")</f>
        <v>0.34499999999999997</v>
      </c>
      <c r="D68" s="11">
        <f>IFERROR(INDEX(Raw_Fangraphs!R$1:R$150,MATCH(Trade_Board!A68,Raw_Fangraphs!A$1:A$150,0)),"Not Found")</f>
        <v>107</v>
      </c>
      <c r="E68" s="11">
        <f t="shared" si="2"/>
        <v>-4.0000000000000036E-3</v>
      </c>
      <c r="F68" s="11" t="str">
        <f t="shared" si="3"/>
        <v>Solid Contributor</v>
      </c>
    </row>
    <row r="69" spans="1:6" ht="16" x14ac:dyDescent="0.2">
      <c r="A69" s="10" t="str">
        <f>Raw_Fangraphs!A69</f>
        <v>TJ Rumfield</v>
      </c>
      <c r="B69" s="11">
        <f>IFERROR(INDEX(Raw_Fangraphs!P$1:P$150, MATCH(Trade_Board!A69, Raw_Fangraphs!A$1:A$150,0)),"Not Found")</f>
        <v>0.374</v>
      </c>
      <c r="C69" s="11">
        <f>IFERROR(INDEX(Raw_Fangraphs!Q$1:Q$150,MATCH(Trade_Board!A69,Raw_Fangraphs!A$1:A$150,0)),"Not Found")</f>
        <v>0.32300000000000001</v>
      </c>
      <c r="D69" s="11">
        <f>IFERROR(INDEX(Raw_Fangraphs!R$1:R$150,MATCH(Trade_Board!A69,Raw_Fangraphs!A$1:A$150,0)),"Not Found")</f>
        <v>124</v>
      </c>
      <c r="E69" s="11">
        <f t="shared" si="2"/>
        <v>-5.099999999999999E-2</v>
      </c>
      <c r="F69" s="11" t="str">
        <f t="shared" si="3"/>
        <v>Solid Contributor</v>
      </c>
    </row>
    <row r="70" spans="1:6" ht="16" x14ac:dyDescent="0.2">
      <c r="A70" s="10" t="str">
        <f>Raw_Fangraphs!A70</f>
        <v>Alec Burleson</v>
      </c>
      <c r="B70" s="11">
        <f>IFERROR(INDEX(Raw_Fangraphs!P$1:P$150, MATCH(Trade_Board!A70, Raw_Fangraphs!A$1:A$150,0)),"Not Found")</f>
        <v>0.34699999999999998</v>
      </c>
      <c r="C70" s="11">
        <f>IFERROR(INDEX(Raw_Fangraphs!Q$1:Q$150,MATCH(Trade_Board!A70,Raw_Fangraphs!A$1:A$150,0)),"Not Found")</f>
        <v>0.38100000000000001</v>
      </c>
      <c r="D70" s="11">
        <f>IFERROR(INDEX(Raw_Fangraphs!R$1:R$150,MATCH(Trade_Board!A70,Raw_Fangraphs!A$1:A$150,0)),"Not Found")</f>
        <v>122</v>
      </c>
      <c r="E70" s="11">
        <f t="shared" si="2"/>
        <v>3.400000000000003E-2</v>
      </c>
      <c r="F70" s="11" t="str">
        <f t="shared" si="3"/>
        <v>Unlucky, Yet Above Average Production</v>
      </c>
    </row>
    <row r="71" spans="1:6" ht="16" x14ac:dyDescent="0.2">
      <c r="A71" s="10" t="str">
        <f>Raw_Fangraphs!A71</f>
        <v>Sal Stewart</v>
      </c>
      <c r="B71" s="11">
        <f>IFERROR(INDEX(Raw_Fangraphs!P$1:P$150, MATCH(Trade_Board!A71, Raw_Fangraphs!A$1:A$150,0)),"Not Found")</f>
        <v>0.34899999999999998</v>
      </c>
      <c r="C71" s="11">
        <f>IFERROR(INDEX(Raw_Fangraphs!Q$1:Q$150,MATCH(Trade_Board!A71,Raw_Fangraphs!A$1:A$150,0)),"Not Found")</f>
        <v>0.35099999999999998</v>
      </c>
      <c r="D71" s="11">
        <f>IFERROR(INDEX(Raw_Fangraphs!R$1:R$150,MATCH(Trade_Board!A71,Raw_Fangraphs!A$1:A$150,0)),"Not Found")</f>
        <v>116</v>
      </c>
      <c r="E71" s="11">
        <f t="shared" si="2"/>
        <v>2.0000000000000018E-3</v>
      </c>
      <c r="F71" s="11" t="str">
        <f t="shared" si="3"/>
        <v>Unlucky, Yet Above Average Production</v>
      </c>
    </row>
    <row r="72" spans="1:6" ht="16" x14ac:dyDescent="0.2">
      <c r="A72" s="10" t="str">
        <f>Raw_Fangraphs!A72</f>
        <v>Alex Bregman</v>
      </c>
      <c r="B72" s="11">
        <f>IFERROR(INDEX(Raw_Fangraphs!P$1:P$150, MATCH(Trade_Board!A72, Raw_Fangraphs!A$1:A$150,0)),"Not Found")</f>
        <v>0.312</v>
      </c>
      <c r="C72" s="11">
        <f>IFERROR(INDEX(Raw_Fangraphs!Q$1:Q$150,MATCH(Trade_Board!A72,Raw_Fangraphs!A$1:A$150,0)),"Not Found")</f>
        <v>0.311</v>
      </c>
      <c r="D72" s="11">
        <f>IFERROR(INDEX(Raw_Fangraphs!R$1:R$150,MATCH(Trade_Board!A72,Raw_Fangraphs!A$1:A$150,0)),"Not Found")</f>
        <v>97</v>
      </c>
      <c r="E72" s="11">
        <f t="shared" si="2"/>
        <v>-1.0000000000000009E-3</v>
      </c>
      <c r="F72" s="11" t="str">
        <f t="shared" si="3"/>
        <v>Solid Contributor</v>
      </c>
    </row>
    <row r="73" spans="1:6" ht="16" x14ac:dyDescent="0.2">
      <c r="A73" s="10" t="str">
        <f>Raw_Fangraphs!A73</f>
        <v>Liam Hicks</v>
      </c>
      <c r="B73" s="11">
        <f>IFERROR(INDEX(Raw_Fangraphs!P$1:P$150, MATCH(Trade_Board!A73, Raw_Fangraphs!A$1:A$150,0)),"Not Found")</f>
        <v>0.35699999999999998</v>
      </c>
      <c r="C73" s="11">
        <f>IFERROR(INDEX(Raw_Fangraphs!Q$1:Q$150,MATCH(Trade_Board!A73,Raw_Fangraphs!A$1:A$150,0)),"Not Found")</f>
        <v>0.309</v>
      </c>
      <c r="D73" s="11">
        <f>IFERROR(INDEX(Raw_Fangraphs!R$1:R$150,MATCH(Trade_Board!A73,Raw_Fangraphs!A$1:A$150,0)),"Not Found")</f>
        <v>125</v>
      </c>
      <c r="E73" s="11">
        <f t="shared" si="2"/>
        <v>-4.7999999999999987E-2</v>
      </c>
      <c r="F73" s="11" t="str">
        <f t="shared" si="3"/>
        <v>Elite Player/Run Producer</v>
      </c>
    </row>
    <row r="74" spans="1:6" ht="16" x14ac:dyDescent="0.2">
      <c r="A74" s="10" t="str">
        <f>Raw_Fangraphs!A74</f>
        <v>Chase DeLauter</v>
      </c>
      <c r="B74" s="11">
        <f>IFERROR(INDEX(Raw_Fangraphs!P$1:P$150, MATCH(Trade_Board!A74, Raw_Fangraphs!A$1:A$150,0)),"Not Found")</f>
        <v>0.34699999999999998</v>
      </c>
      <c r="C74" s="11">
        <f>IFERROR(INDEX(Raw_Fangraphs!Q$1:Q$150,MATCH(Trade_Board!A74,Raw_Fangraphs!A$1:A$150,0)),"Not Found")</f>
        <v>0.34200000000000003</v>
      </c>
      <c r="D74" s="11">
        <f>IFERROR(INDEX(Raw_Fangraphs!R$1:R$150,MATCH(Trade_Board!A74,Raw_Fangraphs!A$1:A$150,0)),"Not Found")</f>
        <v>123</v>
      </c>
      <c r="E74" s="11">
        <f t="shared" si="2"/>
        <v>-4.9999999999999489E-3</v>
      </c>
      <c r="F74" s="11" t="str">
        <f t="shared" si="3"/>
        <v>Solid Contributor</v>
      </c>
    </row>
    <row r="75" spans="1:6" ht="16" x14ac:dyDescent="0.2">
      <c r="A75" s="10" t="str">
        <f>Raw_Fangraphs!A75</f>
        <v>Bryce Harper</v>
      </c>
      <c r="B75" s="11">
        <f>IFERROR(INDEX(Raw_Fangraphs!P$1:P$150, MATCH(Trade_Board!A75, Raw_Fangraphs!A$1:A$150,0)),"Not Found")</f>
        <v>0.371</v>
      </c>
      <c r="C75" s="11">
        <f>IFERROR(INDEX(Raw_Fangraphs!Q$1:Q$150,MATCH(Trade_Board!A75,Raw_Fangraphs!A$1:A$150,0)),"Not Found")</f>
        <v>0.39400000000000002</v>
      </c>
      <c r="D75" s="11">
        <f>IFERROR(INDEX(Raw_Fangraphs!R$1:R$150,MATCH(Trade_Board!A75,Raw_Fangraphs!A$1:A$150,0)),"Not Found")</f>
        <v>133</v>
      </c>
      <c r="E75" s="11">
        <f t="shared" si="2"/>
        <v>2.300000000000002E-2</v>
      </c>
      <c r="F75" s="11" t="str">
        <f t="shared" si="3"/>
        <v>Elite Player/Run Producer</v>
      </c>
    </row>
    <row r="76" spans="1:6" ht="16" x14ac:dyDescent="0.2">
      <c r="A76" s="10" t="str">
        <f>Raw_Fangraphs!A76</f>
        <v>Cole Young</v>
      </c>
      <c r="B76" s="11">
        <f>IFERROR(INDEX(Raw_Fangraphs!P$1:P$150, MATCH(Trade_Board!A76, Raw_Fangraphs!A$1:A$150,0)),"Not Found")</f>
        <v>0.312</v>
      </c>
      <c r="C76" s="11">
        <f>IFERROR(INDEX(Raw_Fangraphs!Q$1:Q$150,MATCH(Trade_Board!A76,Raw_Fangraphs!A$1:A$150,0)),"Not Found")</f>
        <v>0.33</v>
      </c>
      <c r="D76" s="11">
        <f>IFERROR(INDEX(Raw_Fangraphs!R$1:R$150,MATCH(Trade_Board!A76,Raw_Fangraphs!A$1:A$150,0)),"Not Found")</f>
        <v>104</v>
      </c>
      <c r="E76" s="11">
        <f t="shared" si="2"/>
        <v>1.8000000000000016E-2</v>
      </c>
      <c r="F76" s="11" t="str">
        <f t="shared" si="3"/>
        <v>Unlucky, Yet Above Average Production</v>
      </c>
    </row>
    <row r="77" spans="1:6" ht="16" x14ac:dyDescent="0.2">
      <c r="A77" s="10" t="str">
        <f>Raw_Fangraphs!A77</f>
        <v>Ian Happ</v>
      </c>
      <c r="B77" s="11">
        <f>IFERROR(INDEX(Raw_Fangraphs!P$1:P$150, MATCH(Trade_Board!A77, Raw_Fangraphs!A$1:A$150,0)),"Not Found")</f>
        <v>0.33100000000000002</v>
      </c>
      <c r="C77" s="11">
        <f>IFERROR(INDEX(Raw_Fangraphs!Q$1:Q$150,MATCH(Trade_Board!A77,Raw_Fangraphs!A$1:A$150,0)),"Not Found")</f>
        <v>0.32100000000000001</v>
      </c>
      <c r="D77" s="11">
        <f>IFERROR(INDEX(Raw_Fangraphs!R$1:R$150,MATCH(Trade_Board!A77,Raw_Fangraphs!A$1:A$150,0)),"Not Found")</f>
        <v>110</v>
      </c>
      <c r="E77" s="11">
        <f t="shared" si="2"/>
        <v>-1.0000000000000009E-2</v>
      </c>
      <c r="F77" s="11" t="str">
        <f t="shared" si="3"/>
        <v>Solid Contributor</v>
      </c>
    </row>
    <row r="78" spans="1:6" ht="16" x14ac:dyDescent="0.2">
      <c r="A78" s="10" t="str">
        <f>Raw_Fangraphs!A78</f>
        <v>Ozzie Albies</v>
      </c>
      <c r="B78" s="11">
        <f>IFERROR(INDEX(Raw_Fangraphs!P$1:P$150, MATCH(Trade_Board!A78, Raw_Fangraphs!A$1:A$150,0)),"Not Found")</f>
        <v>0.32700000000000001</v>
      </c>
      <c r="C78" s="11">
        <f>IFERROR(INDEX(Raw_Fangraphs!Q$1:Q$150,MATCH(Trade_Board!A78,Raw_Fangraphs!A$1:A$150,0)),"Not Found")</f>
        <v>0.29099999999999998</v>
      </c>
      <c r="D78" s="11">
        <f>IFERROR(INDEX(Raw_Fangraphs!R$1:R$150,MATCH(Trade_Board!A78,Raw_Fangraphs!A$1:A$150,0)),"Not Found")</f>
        <v>105</v>
      </c>
      <c r="E78" s="11">
        <f t="shared" si="2"/>
        <v>-3.6000000000000032E-2</v>
      </c>
      <c r="F78" s="11" t="str">
        <f t="shared" si="3"/>
        <v>Solid Contributor</v>
      </c>
    </row>
    <row r="79" spans="1:6" ht="16" x14ac:dyDescent="0.2">
      <c r="A79" s="10" t="str">
        <f>Raw_Fangraphs!A79</f>
        <v>Jake McCarthy</v>
      </c>
      <c r="B79" s="11">
        <f>IFERROR(INDEX(Raw_Fangraphs!P$1:P$150, MATCH(Trade_Board!A79, Raw_Fangraphs!A$1:A$150,0)),"Not Found")</f>
        <v>0.36899999999999999</v>
      </c>
      <c r="C79" s="11">
        <f>IFERROR(INDEX(Raw_Fangraphs!Q$1:Q$150,MATCH(Trade_Board!A79,Raw_Fangraphs!A$1:A$150,0)),"Not Found")</f>
        <v>0.312</v>
      </c>
      <c r="D79" s="11">
        <f>IFERROR(INDEX(Raw_Fangraphs!R$1:R$150,MATCH(Trade_Board!A79,Raw_Fangraphs!A$1:A$150,0)),"Not Found")</f>
        <v>121</v>
      </c>
      <c r="E79" s="11">
        <f t="shared" si="2"/>
        <v>-5.6999999999999995E-2</v>
      </c>
      <c r="F79" s="11" t="str">
        <f t="shared" si="3"/>
        <v>Solid Contributor</v>
      </c>
    </row>
    <row r="80" spans="1:6" ht="16" x14ac:dyDescent="0.2">
      <c r="A80" s="10" t="str">
        <f>Raw_Fangraphs!A80</f>
        <v>Carson Benge</v>
      </c>
      <c r="B80" s="11">
        <f>IFERROR(INDEX(Raw_Fangraphs!P$1:P$150, MATCH(Trade_Board!A80, Raw_Fangraphs!A$1:A$150,0)),"Not Found")</f>
        <v>0.32200000000000001</v>
      </c>
      <c r="C80" s="11">
        <f>IFERROR(INDEX(Raw_Fangraphs!Q$1:Q$150,MATCH(Trade_Board!A80,Raw_Fangraphs!A$1:A$150,0)),"Not Found")</f>
        <v>0.35199999999999998</v>
      </c>
      <c r="D80" s="11">
        <f>IFERROR(INDEX(Raw_Fangraphs!R$1:R$150,MATCH(Trade_Board!A80,Raw_Fangraphs!A$1:A$150,0)),"Not Found")</f>
        <v>106</v>
      </c>
      <c r="E80" s="11">
        <f t="shared" si="2"/>
        <v>2.9999999999999971E-2</v>
      </c>
      <c r="F80" s="11" t="str">
        <f t="shared" si="3"/>
        <v>Unlucky, Yet Above Average Production</v>
      </c>
    </row>
    <row r="81" spans="1:6" ht="16" x14ac:dyDescent="0.2">
      <c r="A81" s="10" t="str">
        <f>Raw_Fangraphs!A81</f>
        <v>Xander Bogaerts</v>
      </c>
      <c r="B81" s="11">
        <f>IFERROR(INDEX(Raw_Fangraphs!P$1:P$150, MATCH(Trade_Board!A81, Raw_Fangraphs!A$1:A$150,0)),"Not Found")</f>
        <v>0.29399999999999998</v>
      </c>
      <c r="C81" s="11">
        <f>IFERROR(INDEX(Raw_Fangraphs!Q$1:Q$150,MATCH(Trade_Board!A81,Raw_Fangraphs!A$1:A$150,0)),"Not Found")</f>
        <v>0.314</v>
      </c>
      <c r="D81" s="11">
        <f>IFERROR(INDEX(Raw_Fangraphs!R$1:R$150,MATCH(Trade_Board!A81,Raw_Fangraphs!A$1:A$150,0)),"Not Found")</f>
        <v>87</v>
      </c>
      <c r="E81" s="11">
        <f t="shared" si="2"/>
        <v>2.0000000000000018E-2</v>
      </c>
      <c r="F81" s="11" t="str">
        <f t="shared" si="3"/>
        <v>Buy-Low/Unlucky And Below Average Production</v>
      </c>
    </row>
    <row r="82" spans="1:6" ht="16" x14ac:dyDescent="0.2">
      <c r="A82" s="10" t="str">
        <f>Raw_Fangraphs!A82</f>
        <v>William Contreras</v>
      </c>
      <c r="B82" s="11">
        <f>IFERROR(INDEX(Raw_Fangraphs!P$1:P$150, MATCH(Trade_Board!A82, Raw_Fangraphs!A$1:A$150,0)),"Not Found")</f>
        <v>0.32400000000000001</v>
      </c>
      <c r="C82" s="11">
        <f>IFERROR(INDEX(Raw_Fangraphs!Q$1:Q$150,MATCH(Trade_Board!A82,Raw_Fangraphs!A$1:A$150,0)),"Not Found")</f>
        <v>0.33700000000000002</v>
      </c>
      <c r="D82" s="11">
        <f>IFERROR(INDEX(Raw_Fangraphs!R$1:R$150,MATCH(Trade_Board!A82,Raw_Fangraphs!A$1:A$150,0)),"Not Found")</f>
        <v>105</v>
      </c>
      <c r="E82" s="11">
        <f t="shared" si="2"/>
        <v>1.3000000000000012E-2</v>
      </c>
      <c r="F82" s="11" t="str">
        <f t="shared" si="3"/>
        <v>Unlucky, Yet Above Average Production</v>
      </c>
    </row>
    <row r="83" spans="1:6" ht="16" x14ac:dyDescent="0.2">
      <c r="A83" s="10" t="str">
        <f>Raw_Fangraphs!A83</f>
        <v>Taylor Ward</v>
      </c>
      <c r="B83" s="11">
        <f>IFERROR(INDEX(Raw_Fangraphs!P$1:P$150, MATCH(Trade_Board!A83, Raw_Fangraphs!A$1:A$150,0)),"Not Found")</f>
        <v>0.34100000000000003</v>
      </c>
      <c r="C83" s="11">
        <f>IFERROR(INDEX(Raw_Fangraphs!Q$1:Q$150,MATCH(Trade_Board!A83,Raw_Fangraphs!A$1:A$150,0)),"Not Found")</f>
        <v>0.34599999999999997</v>
      </c>
      <c r="D83" s="11">
        <f>IFERROR(INDEX(Raw_Fangraphs!R$1:R$150,MATCH(Trade_Board!A83,Raw_Fangraphs!A$1:A$150,0)),"Not Found")</f>
        <v>120</v>
      </c>
      <c r="E83" s="11">
        <f t="shared" si="2"/>
        <v>4.9999999999999489E-3</v>
      </c>
      <c r="F83" s="11" t="str">
        <f t="shared" si="3"/>
        <v>Unlucky, Yet Above Average Production</v>
      </c>
    </row>
    <row r="84" spans="1:6" ht="16" x14ac:dyDescent="0.2">
      <c r="A84" s="10" t="str">
        <f>Raw_Fangraphs!A84</f>
        <v>Brandon Marsh</v>
      </c>
      <c r="B84" s="11">
        <f>IFERROR(INDEX(Raw_Fangraphs!P$1:P$150, MATCH(Trade_Board!A84, Raw_Fangraphs!A$1:A$150,0)),"Not Found")</f>
        <v>0.35599999999999998</v>
      </c>
      <c r="C84" s="11">
        <f>IFERROR(INDEX(Raw_Fangraphs!Q$1:Q$150,MATCH(Trade_Board!A84,Raw_Fangraphs!A$1:A$150,0)),"Not Found")</f>
        <v>0.32400000000000001</v>
      </c>
      <c r="D84" s="11">
        <f>IFERROR(INDEX(Raw_Fangraphs!R$1:R$150,MATCH(Trade_Board!A84,Raw_Fangraphs!A$1:A$150,0)),"Not Found")</f>
        <v>123</v>
      </c>
      <c r="E84" s="11">
        <f t="shared" si="2"/>
        <v>-3.1999999999999973E-2</v>
      </c>
      <c r="F84" s="11" t="str">
        <f t="shared" si="3"/>
        <v>Solid Contributor</v>
      </c>
    </row>
    <row r="85" spans="1:6" ht="16" x14ac:dyDescent="0.2">
      <c r="A85" s="10" t="str">
        <f>Raw_Fangraphs!A85</f>
        <v>Kody Clemens</v>
      </c>
      <c r="B85" s="11">
        <f>IFERROR(INDEX(Raw_Fangraphs!P$1:P$150, MATCH(Trade_Board!A85, Raw_Fangraphs!A$1:A$150,0)),"Not Found")</f>
        <v>0.33600000000000002</v>
      </c>
      <c r="C85" s="11">
        <f>IFERROR(INDEX(Raw_Fangraphs!Q$1:Q$150,MATCH(Trade_Board!A85,Raw_Fangraphs!A$1:A$150,0)),"Not Found")</f>
        <v>0.33900000000000002</v>
      </c>
      <c r="D85" s="11">
        <f>IFERROR(INDEX(Raw_Fangraphs!R$1:R$150,MATCH(Trade_Board!A85,Raw_Fangraphs!A$1:A$150,0)),"Not Found")</f>
        <v>114</v>
      </c>
      <c r="E85" s="11">
        <f t="shared" si="2"/>
        <v>3.0000000000000027E-3</v>
      </c>
      <c r="F85" s="11" t="str">
        <f t="shared" si="3"/>
        <v>Unlucky, Yet Above Average Production</v>
      </c>
    </row>
    <row r="86" spans="1:6" ht="16" x14ac:dyDescent="0.2">
      <c r="A86" s="10" t="str">
        <f>Raw_Fangraphs!A86</f>
        <v>Christian Walker</v>
      </c>
      <c r="B86" s="11">
        <f>IFERROR(INDEX(Raw_Fangraphs!P$1:P$150, MATCH(Trade_Board!A86, Raw_Fangraphs!A$1:A$150,0)),"Not Found")</f>
        <v>0.33500000000000002</v>
      </c>
      <c r="C86" s="11">
        <f>IFERROR(INDEX(Raw_Fangraphs!Q$1:Q$150,MATCH(Trade_Board!A86,Raw_Fangraphs!A$1:A$150,0)),"Not Found")</f>
        <v>0.30399999999999999</v>
      </c>
      <c r="D86" s="11">
        <f>IFERROR(INDEX(Raw_Fangraphs!R$1:R$150,MATCH(Trade_Board!A86,Raw_Fangraphs!A$1:A$150,0)),"Not Found")</f>
        <v>114</v>
      </c>
      <c r="E86" s="11">
        <f t="shared" si="2"/>
        <v>-3.1000000000000028E-2</v>
      </c>
      <c r="F86" s="11" t="str">
        <f t="shared" si="3"/>
        <v>Solid Contributor</v>
      </c>
    </row>
    <row r="87" spans="1:6" ht="16" x14ac:dyDescent="0.2">
      <c r="A87" s="10" t="str">
        <f>Raw_Fangraphs!A87</f>
        <v>Iván Herrera</v>
      </c>
      <c r="B87" s="11">
        <f>IFERROR(INDEX(Raw_Fangraphs!P$1:P$150, MATCH(Trade_Board!A87, Raw_Fangraphs!A$1:A$150,0)),"Not Found")</f>
        <v>0.34699999999999998</v>
      </c>
      <c r="C87" s="11">
        <f>IFERROR(INDEX(Raw_Fangraphs!Q$1:Q$150,MATCH(Trade_Board!A87,Raw_Fangraphs!A$1:A$150,0)),"Not Found")</f>
        <v>0.34799999999999998</v>
      </c>
      <c r="D87" s="11">
        <f>IFERROR(INDEX(Raw_Fangraphs!R$1:R$150,MATCH(Trade_Board!A87,Raw_Fangraphs!A$1:A$150,0)),"Not Found")</f>
        <v>121</v>
      </c>
      <c r="E87" s="11">
        <f t="shared" si="2"/>
        <v>1.0000000000000009E-3</v>
      </c>
      <c r="F87" s="11" t="str">
        <f t="shared" si="3"/>
        <v>Unlucky, Yet Above Average Production</v>
      </c>
    </row>
    <row r="88" spans="1:6" ht="16" x14ac:dyDescent="0.2">
      <c r="A88" s="10" t="str">
        <f>Raw_Fangraphs!A88</f>
        <v>Bryson Stott</v>
      </c>
      <c r="B88" s="11">
        <f>IFERROR(INDEX(Raw_Fangraphs!P$1:P$150, MATCH(Trade_Board!A88, Raw_Fangraphs!A$1:A$150,0)),"Not Found")</f>
        <v>0.308</v>
      </c>
      <c r="C88" s="11">
        <f>IFERROR(INDEX(Raw_Fangraphs!Q$1:Q$150,MATCH(Trade_Board!A88,Raw_Fangraphs!A$1:A$150,0)),"Not Found")</f>
        <v>0.32</v>
      </c>
      <c r="D88" s="11">
        <f>IFERROR(INDEX(Raw_Fangraphs!R$1:R$150,MATCH(Trade_Board!A88,Raw_Fangraphs!A$1:A$150,0)),"Not Found")</f>
        <v>91</v>
      </c>
      <c r="E88" s="11">
        <f t="shared" si="2"/>
        <v>1.2000000000000011E-2</v>
      </c>
      <c r="F88" s="11" t="str">
        <f t="shared" si="3"/>
        <v>Buy-Low/Unlucky And Below Average Production</v>
      </c>
    </row>
    <row r="89" spans="1:6" ht="16" x14ac:dyDescent="0.2">
      <c r="A89" s="10" t="str">
        <f>Raw_Fangraphs!A89</f>
        <v>Tyler Soderstrom</v>
      </c>
      <c r="B89" s="11">
        <f>IFERROR(INDEX(Raw_Fangraphs!P$1:P$150, MATCH(Trade_Board!A89, Raw_Fangraphs!A$1:A$150,0)),"Not Found")</f>
        <v>0.34799999999999998</v>
      </c>
      <c r="C89" s="11">
        <f>IFERROR(INDEX(Raw_Fangraphs!Q$1:Q$150,MATCH(Trade_Board!A89,Raw_Fangraphs!A$1:A$150,0)),"Not Found")</f>
        <v>0.34300000000000003</v>
      </c>
      <c r="D89" s="11">
        <f>IFERROR(INDEX(Raw_Fangraphs!R$1:R$150,MATCH(Trade_Board!A89,Raw_Fangraphs!A$1:A$150,0)),"Not Found")</f>
        <v>120</v>
      </c>
      <c r="E89" s="11">
        <f t="shared" si="2"/>
        <v>-4.9999999999999489E-3</v>
      </c>
      <c r="F89" s="11" t="str">
        <f t="shared" si="3"/>
        <v>Solid Contributor</v>
      </c>
    </row>
    <row r="90" spans="1:6" ht="16" x14ac:dyDescent="0.2">
      <c r="A90" s="10" t="str">
        <f>Raw_Fangraphs!A90</f>
        <v>Andrés Giménez</v>
      </c>
      <c r="B90" s="11">
        <f>IFERROR(INDEX(Raw_Fangraphs!P$1:P$150, MATCH(Trade_Board!A90, Raw_Fangraphs!A$1:A$150,0)),"Not Found")</f>
        <v>0.28100000000000003</v>
      </c>
      <c r="C90" s="11">
        <f>IFERROR(INDEX(Raw_Fangraphs!Q$1:Q$150,MATCH(Trade_Board!A90,Raw_Fangraphs!A$1:A$150,0)),"Not Found")</f>
        <v>0.26500000000000001</v>
      </c>
      <c r="D90" s="11">
        <f>IFERROR(INDEX(Raw_Fangraphs!R$1:R$150,MATCH(Trade_Board!A90,Raw_Fangraphs!A$1:A$150,0)),"Not Found")</f>
        <v>77</v>
      </c>
      <c r="E90" s="11">
        <f t="shared" si="2"/>
        <v>-1.6000000000000014E-2</v>
      </c>
      <c r="F90" s="11" t="str">
        <f t="shared" si="3"/>
        <v>Lucky Hitter With Low Production</v>
      </c>
    </row>
    <row r="91" spans="1:6" ht="16" x14ac:dyDescent="0.2">
      <c r="A91" s="10" t="str">
        <f>Raw_Fangraphs!A91</f>
        <v>Sam Antonacci</v>
      </c>
      <c r="B91" s="11">
        <f>IFERROR(INDEX(Raw_Fangraphs!P$1:P$150, MATCH(Trade_Board!A91, Raw_Fangraphs!A$1:A$150,0)),"Not Found")</f>
        <v>0.35799999999999998</v>
      </c>
      <c r="C91" s="11">
        <f>IFERROR(INDEX(Raw_Fangraphs!Q$1:Q$150,MATCH(Trade_Board!A91,Raw_Fangraphs!A$1:A$150,0)),"Not Found")</f>
        <v>0.36499999999999999</v>
      </c>
      <c r="D91" s="11">
        <f>IFERROR(INDEX(Raw_Fangraphs!R$1:R$150,MATCH(Trade_Board!A91,Raw_Fangraphs!A$1:A$150,0)),"Not Found")</f>
        <v>129</v>
      </c>
      <c r="E91" s="11">
        <f t="shared" si="2"/>
        <v>7.0000000000000062E-3</v>
      </c>
      <c r="F91" s="11" t="str">
        <f t="shared" si="3"/>
        <v>Elite Player/Run Producer</v>
      </c>
    </row>
    <row r="92" spans="1:6" ht="16" x14ac:dyDescent="0.2">
      <c r="A92" s="10" t="str">
        <f>Raw_Fangraphs!A92</f>
        <v>Jac Caglianone</v>
      </c>
      <c r="B92" s="11">
        <f>IFERROR(INDEX(Raw_Fangraphs!P$1:P$150, MATCH(Trade_Board!A92, Raw_Fangraphs!A$1:A$150,0)),"Not Found")</f>
        <v>0.33900000000000002</v>
      </c>
      <c r="C92" s="11">
        <f>IFERROR(INDEX(Raw_Fangraphs!Q$1:Q$150,MATCH(Trade_Board!A92,Raw_Fangraphs!A$1:A$150,0)),"Not Found")</f>
        <v>0.35799999999999998</v>
      </c>
      <c r="D92" s="11">
        <f>IFERROR(INDEX(Raw_Fangraphs!R$1:R$150,MATCH(Trade_Board!A92,Raw_Fangraphs!A$1:A$150,0)),"Not Found")</f>
        <v>114</v>
      </c>
      <c r="E92" s="11">
        <f t="shared" si="2"/>
        <v>1.8999999999999961E-2</v>
      </c>
      <c r="F92" s="11" t="str">
        <f t="shared" si="3"/>
        <v>Unlucky, Yet Above Average Production</v>
      </c>
    </row>
    <row r="93" spans="1:6" ht="16" x14ac:dyDescent="0.2">
      <c r="A93" s="10" t="str">
        <f>Raw_Fangraphs!A93</f>
        <v>Nolan Arenado</v>
      </c>
      <c r="B93" s="11">
        <f>IFERROR(INDEX(Raw_Fangraphs!P$1:P$150, MATCH(Trade_Board!A93, Raw_Fangraphs!A$1:A$150,0)),"Not Found")</f>
        <v>0.31900000000000001</v>
      </c>
      <c r="C93" s="11">
        <f>IFERROR(INDEX(Raw_Fangraphs!Q$1:Q$150,MATCH(Trade_Board!A93,Raw_Fangraphs!A$1:A$150,0)),"Not Found")</f>
        <v>0.29399999999999998</v>
      </c>
      <c r="D93" s="11">
        <f>IFERROR(INDEX(Raw_Fangraphs!R$1:R$150,MATCH(Trade_Board!A93,Raw_Fangraphs!A$1:A$150,0)),"Not Found")</f>
        <v>100</v>
      </c>
      <c r="E93" s="11">
        <f t="shared" si="2"/>
        <v>-2.5000000000000022E-2</v>
      </c>
      <c r="F93" s="11" t="str">
        <f t="shared" si="3"/>
        <v>Solid Contributor</v>
      </c>
    </row>
    <row r="94" spans="1:6" ht="16" x14ac:dyDescent="0.2">
      <c r="A94" s="10" t="str">
        <f>Raw_Fangraphs!A94</f>
        <v>Masyn Winn</v>
      </c>
      <c r="B94" s="11">
        <f>IFERROR(INDEX(Raw_Fangraphs!P$1:P$150, MATCH(Trade_Board!A94, Raw_Fangraphs!A$1:A$150,0)),"Not Found")</f>
        <v>0.28999999999999998</v>
      </c>
      <c r="C94" s="11">
        <f>IFERROR(INDEX(Raw_Fangraphs!Q$1:Q$150,MATCH(Trade_Board!A94,Raw_Fangraphs!A$1:A$150,0)),"Not Found")</f>
        <v>0.29599999999999999</v>
      </c>
      <c r="D94" s="11">
        <f>IFERROR(INDEX(Raw_Fangraphs!R$1:R$150,MATCH(Trade_Board!A94,Raw_Fangraphs!A$1:A$150,0)),"Not Found")</f>
        <v>83</v>
      </c>
      <c r="E94" s="11">
        <f t="shared" si="2"/>
        <v>6.0000000000000053E-3</v>
      </c>
      <c r="F94" s="11" t="str">
        <f t="shared" si="3"/>
        <v>Buy-Low/Unlucky And Below Average Production</v>
      </c>
    </row>
    <row r="95" spans="1:6" ht="16" x14ac:dyDescent="0.2">
      <c r="A95" s="10" t="str">
        <f>Raw_Fangraphs!A95</f>
        <v>Carter Jensen</v>
      </c>
      <c r="B95" s="11">
        <f>IFERROR(INDEX(Raw_Fangraphs!P$1:P$150, MATCH(Trade_Board!A95, Raw_Fangraphs!A$1:A$150,0)),"Not Found")</f>
        <v>0.314</v>
      </c>
      <c r="C95" s="11">
        <f>IFERROR(INDEX(Raw_Fangraphs!Q$1:Q$150,MATCH(Trade_Board!A95,Raw_Fangraphs!A$1:A$150,0)),"Not Found")</f>
        <v>0.28799999999999998</v>
      </c>
      <c r="D95" s="11">
        <f>IFERROR(INDEX(Raw_Fangraphs!R$1:R$150,MATCH(Trade_Board!A95,Raw_Fangraphs!A$1:A$150,0)),"Not Found")</f>
        <v>96</v>
      </c>
      <c r="E95" s="11">
        <f t="shared" si="2"/>
        <v>-2.6000000000000023E-2</v>
      </c>
      <c r="F95" s="11" t="str">
        <f t="shared" si="3"/>
        <v>Solid Contributor</v>
      </c>
    </row>
    <row r="96" spans="1:6" ht="16" x14ac:dyDescent="0.2">
      <c r="A96" s="10" t="str">
        <f>Raw_Fangraphs!A96</f>
        <v>Caleb Durbin</v>
      </c>
      <c r="B96" s="11">
        <f>IFERROR(INDEX(Raw_Fangraphs!P$1:P$150, MATCH(Trade_Board!A96, Raw_Fangraphs!A$1:A$150,0)),"Not Found")</f>
        <v>0.30099999999999999</v>
      </c>
      <c r="C96" s="11">
        <f>IFERROR(INDEX(Raw_Fangraphs!Q$1:Q$150,MATCH(Trade_Board!A96,Raw_Fangraphs!A$1:A$150,0)),"Not Found")</f>
        <v>0.28699999999999998</v>
      </c>
      <c r="D96" s="11">
        <f>IFERROR(INDEX(Raw_Fangraphs!R$1:R$150,MATCH(Trade_Board!A96,Raw_Fangraphs!A$1:A$150,0)),"Not Found")</f>
        <v>86</v>
      </c>
      <c r="E96" s="11">
        <f t="shared" si="2"/>
        <v>-1.4000000000000012E-2</v>
      </c>
      <c r="F96" s="11" t="str">
        <f t="shared" si="3"/>
        <v>Lucky Hitter With Low Production</v>
      </c>
    </row>
    <row r="97" spans="1:6" ht="16" x14ac:dyDescent="0.2">
      <c r="A97" s="10" t="str">
        <f>Raw_Fangraphs!A97</f>
        <v>Drake Baldwin</v>
      </c>
      <c r="B97" s="11">
        <f>IFERROR(INDEX(Raw_Fangraphs!P$1:P$150, MATCH(Trade_Board!A97, Raw_Fangraphs!A$1:A$150,0)),"Not Found")</f>
        <v>0.34399999999999997</v>
      </c>
      <c r="C97" s="11">
        <f>IFERROR(INDEX(Raw_Fangraphs!Q$1:Q$150,MATCH(Trade_Board!A97,Raw_Fangraphs!A$1:A$150,0)),"Not Found")</f>
        <v>0.373</v>
      </c>
      <c r="D97" s="11">
        <f>IFERROR(INDEX(Raw_Fangraphs!R$1:R$150,MATCH(Trade_Board!A97,Raw_Fangraphs!A$1:A$150,0)),"Not Found")</f>
        <v>117</v>
      </c>
      <c r="E97" s="11">
        <f t="shared" si="2"/>
        <v>2.9000000000000026E-2</v>
      </c>
      <c r="F97" s="11" t="str">
        <f t="shared" si="3"/>
        <v>Unlucky, Yet Above Average Production</v>
      </c>
    </row>
    <row r="98" spans="1:6" ht="16" x14ac:dyDescent="0.2">
      <c r="A98" s="10" t="str">
        <f>Raw_Fangraphs!A98</f>
        <v>Manny Machado</v>
      </c>
      <c r="B98" s="11">
        <f>IFERROR(INDEX(Raw_Fangraphs!P$1:P$150, MATCH(Trade_Board!A98, Raw_Fangraphs!A$1:A$150,0)),"Not Found")</f>
        <v>0.30499999999999999</v>
      </c>
      <c r="C98" s="11">
        <f>IFERROR(INDEX(Raw_Fangraphs!Q$1:Q$150,MATCH(Trade_Board!A98,Raw_Fangraphs!A$1:A$150,0)),"Not Found")</f>
        <v>0.317</v>
      </c>
      <c r="D98" s="11">
        <f>IFERROR(INDEX(Raw_Fangraphs!R$1:R$150,MATCH(Trade_Board!A98,Raw_Fangraphs!A$1:A$150,0)),"Not Found")</f>
        <v>95</v>
      </c>
      <c r="E98" s="11">
        <f t="shared" si="2"/>
        <v>1.2000000000000011E-2</v>
      </c>
      <c r="F98" s="11" t="str">
        <f t="shared" si="3"/>
        <v>Buy-Low/Unlucky And Below Average Production</v>
      </c>
    </row>
    <row r="99" spans="1:6" ht="16" x14ac:dyDescent="0.2">
      <c r="A99" s="10" t="str">
        <f>Raw_Fangraphs!A99</f>
        <v>Brooks Lee</v>
      </c>
      <c r="B99" s="11">
        <f>IFERROR(INDEX(Raw_Fangraphs!P$1:P$150, MATCH(Trade_Board!A99, Raw_Fangraphs!A$1:A$150,0)),"Not Found")</f>
        <v>0.32200000000000001</v>
      </c>
      <c r="C99" s="11">
        <f>IFERROR(INDEX(Raw_Fangraphs!Q$1:Q$150,MATCH(Trade_Board!A99,Raw_Fangraphs!A$1:A$150,0)),"Not Found")</f>
        <v>0.27800000000000002</v>
      </c>
      <c r="D99" s="11">
        <f>IFERROR(INDEX(Raw_Fangraphs!R$1:R$150,MATCH(Trade_Board!A99,Raw_Fangraphs!A$1:A$150,0)),"Not Found")</f>
        <v>104</v>
      </c>
      <c r="E99" s="11">
        <f t="shared" si="2"/>
        <v>-4.3999999999999984E-2</v>
      </c>
      <c r="F99" s="11" t="str">
        <f t="shared" si="3"/>
        <v>Solid Contributor</v>
      </c>
    </row>
    <row r="100" spans="1:6" ht="16" x14ac:dyDescent="0.2">
      <c r="A100" s="10" t="str">
        <f>Raw_Fangraphs!A100</f>
        <v>Matt Chapman</v>
      </c>
      <c r="B100" s="11">
        <f>IFERROR(INDEX(Raw_Fangraphs!P$1:P$150, MATCH(Trade_Board!A100, Raw_Fangraphs!A$1:A$150,0)),"Not Found")</f>
        <v>0.309</v>
      </c>
      <c r="C100" s="11">
        <f>IFERROR(INDEX(Raw_Fangraphs!Q$1:Q$150,MATCH(Trade_Board!A100,Raw_Fangraphs!A$1:A$150,0)),"Not Found")</f>
        <v>0.28599999999999998</v>
      </c>
      <c r="D100" s="11">
        <f>IFERROR(INDEX(Raw_Fangraphs!R$1:R$150,MATCH(Trade_Board!A100,Raw_Fangraphs!A$1:A$150,0)),"Not Found")</f>
        <v>96</v>
      </c>
      <c r="E100" s="11">
        <f t="shared" si="2"/>
        <v>-2.300000000000002E-2</v>
      </c>
      <c r="F100" s="11" t="str">
        <f t="shared" si="3"/>
        <v>Solid Contributor</v>
      </c>
    </row>
    <row r="101" spans="1:6" ht="16" x14ac:dyDescent="0.2">
      <c r="A101" s="10" t="str">
        <f>Raw_Fangraphs!A101</f>
        <v>Brandon Nimmo</v>
      </c>
      <c r="B101" s="11">
        <f>IFERROR(INDEX(Raw_Fangraphs!P$1:P$150, MATCH(Trade_Board!A101, Raw_Fangraphs!A$1:A$150,0)),"Not Found")</f>
        <v>0.33</v>
      </c>
      <c r="C101" s="11">
        <f>IFERROR(INDEX(Raw_Fangraphs!Q$1:Q$150,MATCH(Trade_Board!A101,Raw_Fangraphs!A$1:A$150,0)),"Not Found")</f>
        <v>0.38100000000000001</v>
      </c>
      <c r="D101" s="11">
        <f>IFERROR(INDEX(Raw_Fangraphs!R$1:R$150,MATCH(Trade_Board!A101,Raw_Fangraphs!A$1:A$150,0)),"Not Found")</f>
        <v>112</v>
      </c>
      <c r="E101" s="11">
        <f t="shared" si="2"/>
        <v>5.099999999999999E-2</v>
      </c>
      <c r="F101" s="11" t="str">
        <f t="shared" si="3"/>
        <v>Unlucky, Yet Above Average Production</v>
      </c>
    </row>
    <row r="102" spans="1:6" ht="16" x14ac:dyDescent="0.2">
      <c r="A102" s="10" t="str">
        <f>Raw_Fangraphs!A102</f>
        <v>Rafael Devers</v>
      </c>
      <c r="B102" s="11">
        <f>IFERROR(INDEX(Raw_Fangraphs!P$1:P$150, MATCH(Trade_Board!A102, Raw_Fangraphs!A$1:A$150,0)),"Not Found")</f>
        <v>0.34200000000000003</v>
      </c>
      <c r="C102" s="11">
        <f>IFERROR(INDEX(Raw_Fangraphs!Q$1:Q$150,MATCH(Trade_Board!A102,Raw_Fangraphs!A$1:A$150,0)),"Not Found")</f>
        <v>0.32700000000000001</v>
      </c>
      <c r="D102" s="11">
        <f>IFERROR(INDEX(Raw_Fangraphs!R$1:R$150,MATCH(Trade_Board!A102,Raw_Fangraphs!A$1:A$150,0)),"Not Found")</f>
        <v>118</v>
      </c>
      <c r="E102" s="11">
        <f t="shared" si="2"/>
        <v>-1.5000000000000013E-2</v>
      </c>
      <c r="F102" s="11" t="str">
        <f t="shared" si="3"/>
        <v>Solid Contributor</v>
      </c>
    </row>
    <row r="103" spans="1:6" ht="16" x14ac:dyDescent="0.2">
      <c r="A103" s="10" t="str">
        <f>Raw_Fangraphs!A103</f>
        <v>Ernie Clement</v>
      </c>
      <c r="B103" s="11">
        <f>IFERROR(INDEX(Raw_Fangraphs!P$1:P$150, MATCH(Trade_Board!A103, Raw_Fangraphs!A$1:A$150,0)),"Not Found")</f>
        <v>0.32600000000000001</v>
      </c>
      <c r="C103" s="11">
        <f>IFERROR(INDEX(Raw_Fangraphs!Q$1:Q$150,MATCH(Trade_Board!A103,Raw_Fangraphs!A$1:A$150,0)),"Not Found")</f>
        <v>0.27500000000000002</v>
      </c>
      <c r="D103" s="11">
        <f>IFERROR(INDEX(Raw_Fangraphs!R$1:R$150,MATCH(Trade_Board!A103,Raw_Fangraphs!A$1:A$150,0)),"Not Found")</f>
        <v>108</v>
      </c>
      <c r="E103" s="11">
        <f t="shared" si="2"/>
        <v>-5.099999999999999E-2</v>
      </c>
      <c r="F103" s="11" t="str">
        <f t="shared" si="3"/>
        <v>Solid Contributor</v>
      </c>
    </row>
    <row r="104" spans="1:6" ht="16" x14ac:dyDescent="0.2">
      <c r="A104" s="10" t="str">
        <f>Raw_Fangraphs!A104</f>
        <v>Nico Hoerner</v>
      </c>
      <c r="B104" s="11">
        <f>IFERROR(INDEX(Raw_Fangraphs!P$1:P$150, MATCH(Trade_Board!A104, Raw_Fangraphs!A$1:A$150,0)),"Not Found")</f>
        <v>0.28399999999999997</v>
      </c>
      <c r="C104" s="11">
        <f>IFERROR(INDEX(Raw_Fangraphs!Q$1:Q$150,MATCH(Trade_Board!A104,Raw_Fangraphs!A$1:A$150,0)),"Not Found")</f>
        <v>0.31900000000000001</v>
      </c>
      <c r="D104" s="11">
        <f>IFERROR(INDEX(Raw_Fangraphs!R$1:R$150,MATCH(Trade_Board!A104,Raw_Fangraphs!A$1:A$150,0)),"Not Found")</f>
        <v>79</v>
      </c>
      <c r="E104" s="11">
        <f t="shared" si="2"/>
        <v>3.5000000000000031E-2</v>
      </c>
      <c r="F104" s="11" t="str">
        <f t="shared" si="3"/>
        <v>Buy-Low/Unlucky And Below Average Production</v>
      </c>
    </row>
    <row r="105" spans="1:6" ht="16" x14ac:dyDescent="0.2">
      <c r="A105" s="10" t="str">
        <f>Raw_Fangraphs!A105</f>
        <v>Chandler Simpson</v>
      </c>
      <c r="B105" s="11">
        <f>IFERROR(INDEX(Raw_Fangraphs!P$1:P$150, MATCH(Trade_Board!A105, Raw_Fangraphs!A$1:A$150,0)),"Not Found")</f>
        <v>0.28999999999999998</v>
      </c>
      <c r="C105" s="11">
        <f>IFERROR(INDEX(Raw_Fangraphs!Q$1:Q$150,MATCH(Trade_Board!A105,Raw_Fangraphs!A$1:A$150,0)),"Not Found")</f>
        <v>0.26300000000000001</v>
      </c>
      <c r="D105" s="11">
        <f>IFERROR(INDEX(Raw_Fangraphs!R$1:R$150,MATCH(Trade_Board!A105,Raw_Fangraphs!A$1:A$150,0)),"Not Found")</f>
        <v>82</v>
      </c>
      <c r="E105" s="11">
        <f t="shared" si="2"/>
        <v>-2.6999999999999968E-2</v>
      </c>
      <c r="F105" s="11" t="str">
        <f t="shared" si="3"/>
        <v>Lucky Hitter With Low Production</v>
      </c>
    </row>
    <row r="106" spans="1:6" ht="16" x14ac:dyDescent="0.2">
      <c r="A106" s="10" t="str">
        <f>Raw_Fangraphs!A106</f>
        <v>Cam Smith</v>
      </c>
      <c r="B106" s="11">
        <f>IFERROR(INDEX(Raw_Fangraphs!P$1:P$150, MATCH(Trade_Board!A106, Raw_Fangraphs!A$1:A$150,0)),"Not Found")</f>
        <v>0.29499999999999998</v>
      </c>
      <c r="C106" s="11">
        <f>IFERROR(INDEX(Raw_Fangraphs!Q$1:Q$150,MATCH(Trade_Board!A106,Raw_Fangraphs!A$1:A$150,0)),"Not Found")</f>
        <v>0.34</v>
      </c>
      <c r="D106" s="11">
        <f>IFERROR(INDEX(Raw_Fangraphs!R$1:R$150,MATCH(Trade_Board!A106,Raw_Fangraphs!A$1:A$150,0)),"Not Found")</f>
        <v>87</v>
      </c>
      <c r="E106" s="11">
        <f t="shared" si="2"/>
        <v>4.500000000000004E-2</v>
      </c>
      <c r="F106" s="11" t="str">
        <f t="shared" si="3"/>
        <v>Buy-Low/Unlucky And Below Average Production</v>
      </c>
    </row>
    <row r="107" spans="1:6" ht="16" x14ac:dyDescent="0.2">
      <c r="A107" s="10" t="str">
        <f>Raw_Fangraphs!A107</f>
        <v>Kyle Stowers</v>
      </c>
      <c r="B107" s="11">
        <f>IFERROR(INDEX(Raw_Fangraphs!P$1:P$150, MATCH(Trade_Board!A107, Raw_Fangraphs!A$1:A$150,0)),"Not Found")</f>
        <v>0.33600000000000002</v>
      </c>
      <c r="C107" s="11">
        <f>IFERROR(INDEX(Raw_Fangraphs!Q$1:Q$150,MATCH(Trade_Board!A107,Raw_Fangraphs!A$1:A$150,0)),"Not Found")</f>
        <v>0.33200000000000002</v>
      </c>
      <c r="D107" s="11">
        <f>IFERROR(INDEX(Raw_Fangraphs!R$1:R$150,MATCH(Trade_Board!A107,Raw_Fangraphs!A$1:A$150,0)),"Not Found")</f>
        <v>110</v>
      </c>
      <c r="E107" s="11">
        <f t="shared" si="2"/>
        <v>-4.0000000000000036E-3</v>
      </c>
      <c r="F107" s="11" t="str">
        <f t="shared" si="3"/>
        <v>Solid Contributor</v>
      </c>
    </row>
    <row r="108" spans="1:6" ht="16" x14ac:dyDescent="0.2">
      <c r="A108" s="10" t="str">
        <f>Raw_Fangraphs!A108</f>
        <v>Ryan O'Hearn</v>
      </c>
      <c r="B108" s="11">
        <f>IFERROR(INDEX(Raw_Fangraphs!P$1:P$150, MATCH(Trade_Board!A108, Raw_Fangraphs!A$1:A$150,0)),"Not Found")</f>
        <v>0.36299999999999999</v>
      </c>
      <c r="C108" s="11">
        <f>IFERROR(INDEX(Raw_Fangraphs!Q$1:Q$150,MATCH(Trade_Board!A108,Raw_Fangraphs!A$1:A$150,0)),"Not Found")</f>
        <v>0.32900000000000001</v>
      </c>
      <c r="D108" s="11">
        <f>IFERROR(INDEX(Raw_Fangraphs!R$1:R$150,MATCH(Trade_Board!A108,Raw_Fangraphs!A$1:A$150,0)),"Not Found")</f>
        <v>128</v>
      </c>
      <c r="E108" s="11">
        <f t="shared" si="2"/>
        <v>-3.3999999999999975E-2</v>
      </c>
      <c r="F108" s="11" t="str">
        <f t="shared" si="3"/>
        <v>Elite Player/Run Producer</v>
      </c>
    </row>
    <row r="109" spans="1:6" ht="16" x14ac:dyDescent="0.2">
      <c r="A109" s="10" t="str">
        <f>Raw_Fangraphs!A109</f>
        <v>Trent Grisham</v>
      </c>
      <c r="B109" s="11">
        <f>IFERROR(INDEX(Raw_Fangraphs!P$1:P$150, MATCH(Trade_Board!A109, Raw_Fangraphs!A$1:A$150,0)),"Not Found")</f>
        <v>0.33300000000000002</v>
      </c>
      <c r="C109" s="11">
        <f>IFERROR(INDEX(Raw_Fangraphs!Q$1:Q$150,MATCH(Trade_Board!A109,Raw_Fangraphs!A$1:A$150,0)),"Not Found")</f>
        <v>0.35699999999999998</v>
      </c>
      <c r="D109" s="11">
        <f>IFERROR(INDEX(Raw_Fangraphs!R$1:R$150,MATCH(Trade_Board!A109,Raw_Fangraphs!A$1:A$150,0)),"Not Found")</f>
        <v>114</v>
      </c>
      <c r="E109" s="11">
        <f t="shared" si="2"/>
        <v>2.3999999999999966E-2</v>
      </c>
      <c r="F109" s="11" t="str">
        <f t="shared" si="3"/>
        <v>Unlucky, Yet Above Average Production</v>
      </c>
    </row>
    <row r="110" spans="1:6" ht="16" x14ac:dyDescent="0.2">
      <c r="A110" s="10" t="str">
        <f>Raw_Fangraphs!A110</f>
        <v>Nolan Schanuel</v>
      </c>
      <c r="B110" s="11">
        <f>IFERROR(INDEX(Raw_Fangraphs!P$1:P$150, MATCH(Trade_Board!A110, Raw_Fangraphs!A$1:A$150,0)),"Not Found")</f>
        <v>0.32900000000000001</v>
      </c>
      <c r="C110" s="11">
        <f>IFERROR(INDEX(Raw_Fangraphs!Q$1:Q$150,MATCH(Trade_Board!A110,Raw_Fangraphs!A$1:A$150,0)),"Not Found")</f>
        <v>0.32600000000000001</v>
      </c>
      <c r="D110" s="11">
        <f>IFERROR(INDEX(Raw_Fangraphs!R$1:R$150,MATCH(Trade_Board!A110,Raw_Fangraphs!A$1:A$150,0)),"Not Found")</f>
        <v>109</v>
      </c>
      <c r="E110" s="11">
        <f t="shared" si="2"/>
        <v>-3.0000000000000027E-3</v>
      </c>
      <c r="F110" s="11" t="str">
        <f t="shared" si="3"/>
        <v>Solid Contributor</v>
      </c>
    </row>
    <row r="111" spans="1:6" ht="16" x14ac:dyDescent="0.2">
      <c r="A111" s="10" t="str">
        <f>Raw_Fangraphs!A111</f>
        <v>Daulton Varsho</v>
      </c>
      <c r="B111" s="11">
        <f>IFERROR(INDEX(Raw_Fangraphs!P$1:P$150, MATCH(Trade_Board!A111, Raw_Fangraphs!A$1:A$150,0)),"Not Found")</f>
        <v>0.30499999999999999</v>
      </c>
      <c r="C111" s="11">
        <f>IFERROR(INDEX(Raw_Fangraphs!Q$1:Q$150,MATCH(Trade_Board!A111,Raw_Fangraphs!A$1:A$150,0)),"Not Found")</f>
        <v>0.29499999999999998</v>
      </c>
      <c r="D111" s="11">
        <f>IFERROR(INDEX(Raw_Fangraphs!R$1:R$150,MATCH(Trade_Board!A111,Raw_Fangraphs!A$1:A$150,0)),"Not Found")</f>
        <v>94</v>
      </c>
      <c r="E111" s="11">
        <f t="shared" si="2"/>
        <v>-1.0000000000000009E-2</v>
      </c>
      <c r="F111" s="11" t="str">
        <f t="shared" si="3"/>
        <v>Solid Contributor</v>
      </c>
    </row>
    <row r="112" spans="1:6" ht="16" x14ac:dyDescent="0.2">
      <c r="A112" s="10" t="str">
        <f>Raw_Fangraphs!A112</f>
        <v>Jake Burger</v>
      </c>
      <c r="B112" s="11">
        <f>IFERROR(INDEX(Raw_Fangraphs!P$1:P$150, MATCH(Trade_Board!A112, Raw_Fangraphs!A$1:A$150,0)),"Not Found")</f>
        <v>0.318</v>
      </c>
      <c r="C112" s="11">
        <f>IFERROR(INDEX(Raw_Fangraphs!Q$1:Q$150,MATCH(Trade_Board!A112,Raw_Fangraphs!A$1:A$150,0)),"Not Found")</f>
        <v>0.31</v>
      </c>
      <c r="D112" s="11">
        <f>IFERROR(INDEX(Raw_Fangraphs!R$1:R$150,MATCH(Trade_Board!A112,Raw_Fangraphs!A$1:A$150,0)),"Not Found")</f>
        <v>103</v>
      </c>
      <c r="E112" s="11">
        <f t="shared" si="2"/>
        <v>-8.0000000000000071E-3</v>
      </c>
      <c r="F112" s="11" t="str">
        <f t="shared" si="3"/>
        <v>Solid Contributor</v>
      </c>
    </row>
    <row r="113" spans="1:6" ht="16" x14ac:dyDescent="0.2">
      <c r="A113" s="10" t="str">
        <f>Raw_Fangraphs!A113</f>
        <v>Samuel Basallo</v>
      </c>
      <c r="B113" s="11">
        <f>IFERROR(INDEX(Raw_Fangraphs!P$1:P$150, MATCH(Trade_Board!A113, Raw_Fangraphs!A$1:A$150,0)),"Not Found")</f>
        <v>0.33100000000000002</v>
      </c>
      <c r="C113" s="11">
        <f>IFERROR(INDEX(Raw_Fangraphs!Q$1:Q$150,MATCH(Trade_Board!A113,Raw_Fangraphs!A$1:A$150,0)),"Not Found")</f>
        <v>0.34</v>
      </c>
      <c r="D113" s="11">
        <f>IFERROR(INDEX(Raw_Fangraphs!R$1:R$150,MATCH(Trade_Board!A113,Raw_Fangraphs!A$1:A$150,0)),"Not Found")</f>
        <v>113</v>
      </c>
      <c r="E113" s="11">
        <f t="shared" si="2"/>
        <v>9.000000000000008E-3</v>
      </c>
      <c r="F113" s="11" t="str">
        <f t="shared" si="3"/>
        <v>Unlucky, Yet Above Average Production</v>
      </c>
    </row>
    <row r="114" spans="1:6" ht="16" x14ac:dyDescent="0.2">
      <c r="A114" s="10" t="str">
        <f>Raw_Fangraphs!A114</f>
        <v>Kyle Tucker</v>
      </c>
      <c r="B114" s="11">
        <f>IFERROR(INDEX(Raw_Fangraphs!P$1:P$150, MATCH(Trade_Board!A114, Raw_Fangraphs!A$1:A$150,0)),"Not Found")</f>
        <v>0.32100000000000001</v>
      </c>
      <c r="C114" s="11">
        <f>IFERROR(INDEX(Raw_Fangraphs!Q$1:Q$150,MATCH(Trade_Board!A114,Raw_Fangraphs!A$1:A$150,0)),"Not Found")</f>
        <v>0.33600000000000002</v>
      </c>
      <c r="D114" s="11">
        <f>IFERROR(INDEX(Raw_Fangraphs!R$1:R$150,MATCH(Trade_Board!A114,Raw_Fangraphs!A$1:A$150,0)),"Not Found")</f>
        <v>102</v>
      </c>
      <c r="E114" s="11">
        <f t="shared" si="2"/>
        <v>1.5000000000000013E-2</v>
      </c>
      <c r="F114" s="11" t="str">
        <f t="shared" si="3"/>
        <v>Unlucky, Yet Above Average Production</v>
      </c>
    </row>
    <row r="115" spans="1:6" ht="16" x14ac:dyDescent="0.2">
      <c r="A115" s="10" t="str">
        <f>Raw_Fangraphs!A115</f>
        <v>Vladimir Guerrero Jr.</v>
      </c>
      <c r="B115" s="11">
        <f>IFERROR(INDEX(Raw_Fangraphs!P$1:P$150, MATCH(Trade_Board!A115, Raw_Fangraphs!A$1:A$150,0)),"Not Found")</f>
        <v>0.312</v>
      </c>
      <c r="C115" s="11">
        <f>IFERROR(INDEX(Raw_Fangraphs!Q$1:Q$150,MATCH(Trade_Board!A115,Raw_Fangraphs!A$1:A$150,0)),"Not Found")</f>
        <v>0.34399999999999997</v>
      </c>
      <c r="D115" s="11">
        <f>IFERROR(INDEX(Raw_Fangraphs!R$1:R$150,MATCH(Trade_Board!A115,Raw_Fangraphs!A$1:A$150,0)),"Not Found")</f>
        <v>99</v>
      </c>
      <c r="E115" s="11">
        <f t="shared" si="2"/>
        <v>3.1999999999999973E-2</v>
      </c>
      <c r="F115" s="11" t="str">
        <f t="shared" si="3"/>
        <v>Buy-Low/Unlucky And Below Average Production</v>
      </c>
    </row>
    <row r="116" spans="1:6" ht="16" x14ac:dyDescent="0.2">
      <c r="A116" s="10" t="str">
        <f>Raw_Fangraphs!A116</f>
        <v>Luke Keaschall</v>
      </c>
      <c r="B116" s="11">
        <f>IFERROR(INDEX(Raw_Fangraphs!P$1:P$150, MATCH(Trade_Board!A116, Raw_Fangraphs!A$1:A$150,0)),"Not Found")</f>
        <v>0.314</v>
      </c>
      <c r="C116" s="11">
        <f>IFERROR(INDEX(Raw_Fangraphs!Q$1:Q$150,MATCH(Trade_Board!A116,Raw_Fangraphs!A$1:A$150,0)),"Not Found")</f>
        <v>0.29699999999999999</v>
      </c>
      <c r="D116" s="11">
        <f>IFERROR(INDEX(Raw_Fangraphs!R$1:R$150,MATCH(Trade_Board!A116,Raw_Fangraphs!A$1:A$150,0)),"Not Found")</f>
        <v>99</v>
      </c>
      <c r="E116" s="11">
        <f t="shared" si="2"/>
        <v>-1.7000000000000015E-2</v>
      </c>
      <c r="F116" s="11" t="str">
        <f t="shared" si="3"/>
        <v>Solid Contributor</v>
      </c>
    </row>
    <row r="117" spans="1:6" ht="16" x14ac:dyDescent="0.2">
      <c r="A117" s="10" t="str">
        <f>Raw_Fangraphs!A117</f>
        <v>Steven Kwan</v>
      </c>
      <c r="B117" s="11">
        <f>IFERROR(INDEX(Raw_Fangraphs!P$1:P$150, MATCH(Trade_Board!A117, Raw_Fangraphs!A$1:A$150,0)),"Not Found")</f>
        <v>0.28599999999999998</v>
      </c>
      <c r="C117" s="11">
        <f>IFERROR(INDEX(Raw_Fangraphs!Q$1:Q$150,MATCH(Trade_Board!A117,Raw_Fangraphs!A$1:A$150,0)),"Not Found")</f>
        <v>0.307</v>
      </c>
      <c r="D117" s="11">
        <f>IFERROR(INDEX(Raw_Fangraphs!R$1:R$150,MATCH(Trade_Board!A117,Raw_Fangraphs!A$1:A$150,0)),"Not Found")</f>
        <v>81</v>
      </c>
      <c r="E117" s="11">
        <f t="shared" si="2"/>
        <v>2.1000000000000019E-2</v>
      </c>
      <c r="F117" s="11" t="str">
        <f t="shared" si="3"/>
        <v>Buy-Low/Unlucky And Below Average Production</v>
      </c>
    </row>
    <row r="118" spans="1:6" ht="16" x14ac:dyDescent="0.2">
      <c r="A118" s="10" t="str">
        <f>Raw_Fangraphs!A118</f>
        <v>Jung Hoo Lee</v>
      </c>
      <c r="B118" s="11">
        <f>IFERROR(INDEX(Raw_Fangraphs!P$1:P$150, MATCH(Trade_Board!A118, Raw_Fangraphs!A$1:A$150,0)),"Not Found")</f>
        <v>0.33200000000000002</v>
      </c>
      <c r="C118" s="11">
        <f>IFERROR(INDEX(Raw_Fangraphs!Q$1:Q$150,MATCH(Trade_Board!A118,Raw_Fangraphs!A$1:A$150,0)),"Not Found")</f>
        <v>0.313</v>
      </c>
      <c r="D118" s="11">
        <f>IFERROR(INDEX(Raw_Fangraphs!R$1:R$150,MATCH(Trade_Board!A118,Raw_Fangraphs!A$1:A$150,0)),"Not Found")</f>
        <v>112</v>
      </c>
      <c r="E118" s="11">
        <f t="shared" si="2"/>
        <v>-1.9000000000000017E-2</v>
      </c>
      <c r="F118" s="11" t="str">
        <f t="shared" si="3"/>
        <v>Solid Contributor</v>
      </c>
    </row>
    <row r="119" spans="1:6" ht="16" x14ac:dyDescent="0.2">
      <c r="A119" s="10" t="str">
        <f>Raw_Fangraphs!A119</f>
        <v>Bo Bichette</v>
      </c>
      <c r="B119" s="11">
        <f>IFERROR(INDEX(Raw_Fangraphs!P$1:P$150, MATCH(Trade_Board!A119, Raw_Fangraphs!A$1:A$150,0)),"Not Found")</f>
        <v>0.29699999999999999</v>
      </c>
      <c r="C119" s="11">
        <f>IFERROR(INDEX(Raw_Fangraphs!Q$1:Q$150,MATCH(Trade_Board!A119,Raw_Fangraphs!A$1:A$150,0)),"Not Found")</f>
        <v>0.33</v>
      </c>
      <c r="D119" s="11">
        <f>IFERROR(INDEX(Raw_Fangraphs!R$1:R$150,MATCH(Trade_Board!A119,Raw_Fangraphs!A$1:A$150,0)),"Not Found")</f>
        <v>89</v>
      </c>
      <c r="E119" s="11">
        <f t="shared" si="2"/>
        <v>3.3000000000000029E-2</v>
      </c>
      <c r="F119" s="11" t="str">
        <f t="shared" si="3"/>
        <v>Buy-Low/Unlucky And Below Average Production</v>
      </c>
    </row>
    <row r="120" spans="1:6" ht="16" x14ac:dyDescent="0.2">
      <c r="A120" s="10" t="str">
        <f>Raw_Fangraphs!A120</f>
        <v>Nasim Nuñez</v>
      </c>
      <c r="B120" s="11">
        <f>IFERROR(INDEX(Raw_Fangraphs!P$1:P$150, MATCH(Trade_Board!A120, Raw_Fangraphs!A$1:A$150,0)),"Not Found")</f>
        <v>0.28499999999999998</v>
      </c>
      <c r="C120" s="11">
        <f>IFERROR(INDEX(Raw_Fangraphs!Q$1:Q$150,MATCH(Trade_Board!A120,Raw_Fangraphs!A$1:A$150,0)),"Not Found")</f>
        <v>0.26900000000000002</v>
      </c>
      <c r="D120" s="11">
        <f>IFERROR(INDEX(Raw_Fangraphs!R$1:R$150,MATCH(Trade_Board!A120,Raw_Fangraphs!A$1:A$150,0)),"Not Found")</f>
        <v>78</v>
      </c>
      <c r="E120" s="11">
        <f t="shared" si="2"/>
        <v>-1.5999999999999959E-2</v>
      </c>
      <c r="F120" s="11" t="str">
        <f t="shared" si="3"/>
        <v>Lucky Hitter With Low Production</v>
      </c>
    </row>
    <row r="121" spans="1:6" ht="16" x14ac:dyDescent="0.2">
      <c r="A121" s="10" t="str">
        <f>Raw_Fangraphs!A121</f>
        <v>J.P. Crawford</v>
      </c>
      <c r="B121" s="11">
        <f>IFERROR(INDEX(Raw_Fangraphs!P$1:P$150, MATCH(Trade_Board!A121, Raw_Fangraphs!A$1:A$150,0)),"Not Found")</f>
        <v>0.315</v>
      </c>
      <c r="C121" s="11">
        <f>IFERROR(INDEX(Raw_Fangraphs!Q$1:Q$150,MATCH(Trade_Board!A121,Raw_Fangraphs!A$1:A$150,0)),"Not Found")</f>
        <v>0.32900000000000001</v>
      </c>
      <c r="D121" s="11">
        <f>IFERROR(INDEX(Raw_Fangraphs!R$1:R$150,MATCH(Trade_Board!A121,Raw_Fangraphs!A$1:A$150,0)),"Not Found")</f>
        <v>107</v>
      </c>
      <c r="E121" s="11">
        <f t="shared" si="2"/>
        <v>1.4000000000000012E-2</v>
      </c>
      <c r="F121" s="11" t="str">
        <f t="shared" si="3"/>
        <v>Unlucky, Yet Above Average Production</v>
      </c>
    </row>
    <row r="122" spans="1:6" ht="16" x14ac:dyDescent="0.2">
      <c r="A122" s="10" t="str">
        <f>Raw_Fangraphs!A122</f>
        <v>José Caballero</v>
      </c>
      <c r="B122" s="11">
        <f>IFERROR(INDEX(Raw_Fangraphs!P$1:P$150, MATCH(Trade_Board!A122, Raw_Fangraphs!A$1:A$150,0)),"Not Found")</f>
        <v>0.30599999999999999</v>
      </c>
      <c r="C122" s="11">
        <f>IFERROR(INDEX(Raw_Fangraphs!Q$1:Q$150,MATCH(Trade_Board!A122,Raw_Fangraphs!A$1:A$150,0)),"Not Found")</f>
        <v>0.27100000000000002</v>
      </c>
      <c r="D122" s="11">
        <f>IFERROR(INDEX(Raw_Fangraphs!R$1:R$150,MATCH(Trade_Board!A122,Raw_Fangraphs!A$1:A$150,0)),"Not Found")</f>
        <v>95</v>
      </c>
      <c r="E122" s="11">
        <f t="shared" si="2"/>
        <v>-3.4999999999999976E-2</v>
      </c>
      <c r="F122" s="11" t="str">
        <f t="shared" si="3"/>
        <v>Solid Contributor</v>
      </c>
    </row>
    <row r="123" spans="1:6" ht="16" x14ac:dyDescent="0.2">
      <c r="A123" s="10" t="str">
        <f>Raw_Fangraphs!A123</f>
        <v>Spencer Steer</v>
      </c>
      <c r="B123" s="11">
        <f>IFERROR(INDEX(Raw_Fangraphs!P$1:P$150, MATCH(Trade_Board!A123, Raw_Fangraphs!A$1:A$150,0)),"Not Found")</f>
        <v>0.33</v>
      </c>
      <c r="C123" s="11">
        <f>IFERROR(INDEX(Raw_Fangraphs!Q$1:Q$150,MATCH(Trade_Board!A123,Raw_Fangraphs!A$1:A$150,0)),"Not Found")</f>
        <v>0.34499999999999997</v>
      </c>
      <c r="D123" s="11">
        <f>IFERROR(INDEX(Raw_Fangraphs!R$1:R$150,MATCH(Trade_Board!A123,Raw_Fangraphs!A$1:A$150,0)),"Not Found")</f>
        <v>103</v>
      </c>
      <c r="E123" s="11">
        <f t="shared" si="2"/>
        <v>1.4999999999999958E-2</v>
      </c>
      <c r="F123" s="11" t="str">
        <f t="shared" si="3"/>
        <v>Unlucky, Yet Above Average Production</v>
      </c>
    </row>
    <row r="124" spans="1:6" ht="16" x14ac:dyDescent="0.2">
      <c r="A124" s="10" t="str">
        <f>Raw_Fangraphs!A124</f>
        <v>Jackson Merrill</v>
      </c>
      <c r="B124" s="11">
        <f>IFERROR(INDEX(Raw_Fangraphs!P$1:P$150, MATCH(Trade_Board!A124, Raw_Fangraphs!A$1:A$150,0)),"Not Found")</f>
        <v>0.27600000000000002</v>
      </c>
      <c r="C124" s="11">
        <f>IFERROR(INDEX(Raw_Fangraphs!Q$1:Q$150,MATCH(Trade_Board!A124,Raw_Fangraphs!A$1:A$150,0)),"Not Found")</f>
        <v>0.308</v>
      </c>
      <c r="D124" s="11">
        <f>IFERROR(INDEX(Raw_Fangraphs!R$1:R$150,MATCH(Trade_Board!A124,Raw_Fangraphs!A$1:A$150,0)),"Not Found")</f>
        <v>76</v>
      </c>
      <c r="E124" s="11">
        <f t="shared" si="2"/>
        <v>3.1999999999999973E-2</v>
      </c>
      <c r="F124" s="11" t="str">
        <f t="shared" si="3"/>
        <v>Buy-Low/Unlucky And Below Average Production</v>
      </c>
    </row>
    <row r="125" spans="1:6" ht="16" x14ac:dyDescent="0.2">
      <c r="A125" s="10" t="str">
        <f>Raw_Fangraphs!A125</f>
        <v>Daylen Lile</v>
      </c>
      <c r="B125" s="11">
        <f>IFERROR(INDEX(Raw_Fangraphs!P$1:P$150, MATCH(Trade_Board!A125, Raw_Fangraphs!A$1:A$150,0)),"Not Found")</f>
        <v>0.30399999999999999</v>
      </c>
      <c r="C125" s="11">
        <f>IFERROR(INDEX(Raw_Fangraphs!Q$1:Q$150,MATCH(Trade_Board!A125,Raw_Fangraphs!A$1:A$150,0)),"Not Found")</f>
        <v>0.314</v>
      </c>
      <c r="D125" s="11">
        <f>IFERROR(INDEX(Raw_Fangraphs!R$1:R$150,MATCH(Trade_Board!A125,Raw_Fangraphs!A$1:A$150,0)),"Not Found")</f>
        <v>90</v>
      </c>
      <c r="E125" s="11">
        <f t="shared" si="2"/>
        <v>1.0000000000000009E-2</v>
      </c>
      <c r="F125" s="11" t="str">
        <f t="shared" si="3"/>
        <v>Buy-Low/Unlucky And Below Average Production</v>
      </c>
    </row>
    <row r="126" spans="1:6" ht="16" x14ac:dyDescent="0.2">
      <c r="A126" s="10" t="str">
        <f>Raw_Fangraphs!A126</f>
        <v>Gavin Sheets</v>
      </c>
      <c r="B126" s="11">
        <f>IFERROR(INDEX(Raw_Fangraphs!P$1:P$150, MATCH(Trade_Board!A126, Raw_Fangraphs!A$1:A$150,0)),"Not Found")</f>
        <v>0.33</v>
      </c>
      <c r="C126" s="11">
        <f>IFERROR(INDEX(Raw_Fangraphs!Q$1:Q$150,MATCH(Trade_Board!A126,Raw_Fangraphs!A$1:A$150,0)),"Not Found")</f>
        <v>0.33300000000000002</v>
      </c>
      <c r="D126" s="11">
        <f>IFERROR(INDEX(Raw_Fangraphs!R$1:R$150,MATCH(Trade_Board!A126,Raw_Fangraphs!A$1:A$150,0)),"Not Found")</f>
        <v>112</v>
      </c>
      <c r="E126" s="11">
        <f t="shared" si="2"/>
        <v>3.0000000000000027E-3</v>
      </c>
      <c r="F126" s="11" t="str">
        <f t="shared" si="3"/>
        <v>Unlucky, Yet Above Average Production</v>
      </c>
    </row>
    <row r="127" spans="1:6" ht="16" x14ac:dyDescent="0.2">
      <c r="A127" s="10" t="str">
        <f>Raw_Fangraphs!A127</f>
        <v>Troy Johnston</v>
      </c>
      <c r="B127" s="11">
        <f>IFERROR(INDEX(Raw_Fangraphs!P$1:P$150, MATCH(Trade_Board!A127, Raw_Fangraphs!A$1:A$150,0)),"Not Found")</f>
        <v>0.35099999999999998</v>
      </c>
      <c r="C127" s="11">
        <f>IFERROR(INDEX(Raw_Fangraphs!Q$1:Q$150,MATCH(Trade_Board!A127,Raw_Fangraphs!A$1:A$150,0)),"Not Found")</f>
        <v>0.33100000000000002</v>
      </c>
      <c r="D127" s="11">
        <f>IFERROR(INDEX(Raw_Fangraphs!R$1:R$150,MATCH(Trade_Board!A127,Raw_Fangraphs!A$1:A$150,0)),"Not Found")</f>
        <v>108</v>
      </c>
      <c r="E127" s="11">
        <f t="shared" si="2"/>
        <v>-1.9999999999999962E-2</v>
      </c>
      <c r="F127" s="11" t="str">
        <f t="shared" si="3"/>
        <v>Solid Contributor</v>
      </c>
    </row>
    <row r="128" spans="1:6" ht="16" x14ac:dyDescent="0.2">
      <c r="A128" s="10" t="str">
        <f>Raw_Fangraphs!A128</f>
        <v>Jose Altuve</v>
      </c>
      <c r="B128" s="11">
        <f>IFERROR(INDEX(Raw_Fangraphs!P$1:P$150, MATCH(Trade_Board!A128, Raw_Fangraphs!A$1:A$150,0)),"Not Found")</f>
        <v>0.311</v>
      </c>
      <c r="C128" s="11">
        <f>IFERROR(INDEX(Raw_Fangraphs!Q$1:Q$150,MATCH(Trade_Board!A128,Raw_Fangraphs!A$1:A$150,0)),"Not Found")</f>
        <v>0.28799999999999998</v>
      </c>
      <c r="D128" s="11">
        <f>IFERROR(INDEX(Raw_Fangraphs!R$1:R$150,MATCH(Trade_Board!A128,Raw_Fangraphs!A$1:A$150,0)),"Not Found")</f>
        <v>98</v>
      </c>
      <c r="E128" s="11">
        <f t="shared" si="2"/>
        <v>-2.300000000000002E-2</v>
      </c>
      <c r="F128" s="11" t="str">
        <f t="shared" si="3"/>
        <v>Solid Contributor</v>
      </c>
    </row>
    <row r="129" spans="1:6" ht="16" x14ac:dyDescent="0.2">
      <c r="A129" s="10" t="str">
        <f>Raw_Fangraphs!A129</f>
        <v>Ildemaro Vargas</v>
      </c>
      <c r="B129" s="11">
        <f>IFERROR(INDEX(Raw_Fangraphs!P$1:P$150, MATCH(Trade_Board!A129, Raw_Fangraphs!A$1:A$150,0)),"Not Found")</f>
        <v>0.30299999999999999</v>
      </c>
      <c r="C129" s="11">
        <f>IFERROR(INDEX(Raw_Fangraphs!Q$1:Q$150,MATCH(Trade_Board!A129,Raw_Fangraphs!A$1:A$150,0)),"Not Found")</f>
        <v>0.31</v>
      </c>
      <c r="D129" s="11">
        <f>IFERROR(INDEX(Raw_Fangraphs!R$1:R$150,MATCH(Trade_Board!A129,Raw_Fangraphs!A$1:A$150,0)),"Not Found")</f>
        <v>88</v>
      </c>
      <c r="E129" s="11">
        <f t="shared" si="2"/>
        <v>7.0000000000000062E-3</v>
      </c>
      <c r="F129" s="11" t="str">
        <f t="shared" si="3"/>
        <v>Buy-Low/Unlucky And Below Average Production</v>
      </c>
    </row>
    <row r="130" spans="1:6" ht="16" x14ac:dyDescent="0.2">
      <c r="A130" s="10" t="str">
        <f>Raw_Fangraphs!A130</f>
        <v>Cedric Mullins</v>
      </c>
      <c r="B130" s="11">
        <f>IFERROR(INDEX(Raw_Fangraphs!P$1:P$150, MATCH(Trade_Board!A130, Raw_Fangraphs!A$1:A$150,0)),"Not Found")</f>
        <v>0.27600000000000002</v>
      </c>
      <c r="C130" s="11">
        <f>IFERROR(INDEX(Raw_Fangraphs!Q$1:Q$150,MATCH(Trade_Board!A130,Raw_Fangraphs!A$1:A$150,0)),"Not Found")</f>
        <v>0.26500000000000001</v>
      </c>
      <c r="D130" s="11">
        <f>IFERROR(INDEX(Raw_Fangraphs!R$1:R$150,MATCH(Trade_Board!A130,Raw_Fangraphs!A$1:A$150,0)),"Not Found")</f>
        <v>73</v>
      </c>
      <c r="E130" s="11">
        <f t="shared" si="2"/>
        <v>-1.100000000000001E-2</v>
      </c>
      <c r="F130" s="11" t="str">
        <f t="shared" si="3"/>
        <v>Lucky Hitter With Low Production</v>
      </c>
    </row>
    <row r="131" spans="1:6" ht="16" x14ac:dyDescent="0.2">
      <c r="A131" s="10" t="str">
        <f>Raw_Fangraphs!A131</f>
        <v>Josh Bell</v>
      </c>
      <c r="B131" s="11">
        <f>IFERROR(INDEX(Raw_Fangraphs!P$1:P$150, MATCH(Trade_Board!A131, Raw_Fangraphs!A$1:A$150,0)),"Not Found")</f>
        <v>0.32</v>
      </c>
      <c r="C131" s="11">
        <f>IFERROR(INDEX(Raw_Fangraphs!Q$1:Q$150,MATCH(Trade_Board!A131,Raw_Fangraphs!A$1:A$150,0)),"Not Found")</f>
        <v>0.33200000000000002</v>
      </c>
      <c r="D131" s="11">
        <f>IFERROR(INDEX(Raw_Fangraphs!R$1:R$150,MATCH(Trade_Board!A131,Raw_Fangraphs!A$1:A$150,0)),"Not Found")</f>
        <v>103</v>
      </c>
      <c r="E131" s="11">
        <f t="shared" ref="E131:E150" si="4">C131-B131</f>
        <v>1.2000000000000011E-2</v>
      </c>
      <c r="F131" s="11" t="str">
        <f t="shared" ref="F131:F150" si="5">IF(AND(E131&gt;=0,D131&lt;=100),"Buy-Low/Unlucky And Below Average Production",IF(AND(E131&gt;0,D131&lt;125,D131&gt;100),"Unlucky, Yet Above Average Production",IF(AND(E131&lt;0,D131&lt;125,D131&gt;90),"Solid Contributor",IF(D131&gt;=125,"Elite Player/Run Producer","Lucky Hitter With Low Production"))))</f>
        <v>Unlucky, Yet Above Average Production</v>
      </c>
    </row>
    <row r="132" spans="1:6" ht="16" x14ac:dyDescent="0.2">
      <c r="A132" s="10" t="str">
        <f>Raw_Fangraphs!A132</f>
        <v>Trea Turner</v>
      </c>
      <c r="B132" s="11">
        <f>IFERROR(INDEX(Raw_Fangraphs!P$1:P$150, MATCH(Trade_Board!A132, Raw_Fangraphs!A$1:A$150,0)),"Not Found")</f>
        <v>0.28299999999999997</v>
      </c>
      <c r="C132" s="11">
        <f>IFERROR(INDEX(Raw_Fangraphs!Q$1:Q$150,MATCH(Trade_Board!A132,Raw_Fangraphs!A$1:A$150,0)),"Not Found")</f>
        <v>0.28899999999999998</v>
      </c>
      <c r="D132" s="11">
        <f>IFERROR(INDEX(Raw_Fangraphs!R$1:R$150,MATCH(Trade_Board!A132,Raw_Fangraphs!A$1:A$150,0)),"Not Found")</f>
        <v>74</v>
      </c>
      <c r="E132" s="11">
        <f t="shared" si="4"/>
        <v>6.0000000000000053E-3</v>
      </c>
      <c r="F132" s="11" t="str">
        <f t="shared" si="5"/>
        <v>Buy-Low/Unlucky And Below Average Production</v>
      </c>
    </row>
    <row r="133" spans="1:6" ht="16" x14ac:dyDescent="0.2">
      <c r="A133" s="10" t="str">
        <f>Raw_Fangraphs!A133</f>
        <v>Isaac Collins</v>
      </c>
      <c r="B133" s="11">
        <f>IFERROR(INDEX(Raw_Fangraphs!P$1:P$150, MATCH(Trade_Board!A133, Raw_Fangraphs!A$1:A$150,0)),"Not Found")</f>
        <v>0.32</v>
      </c>
      <c r="C133" s="11">
        <f>IFERROR(INDEX(Raw_Fangraphs!Q$1:Q$150,MATCH(Trade_Board!A133,Raw_Fangraphs!A$1:A$150,0)),"Not Found")</f>
        <v>0.316</v>
      </c>
      <c r="D133" s="11">
        <f>IFERROR(INDEX(Raw_Fangraphs!R$1:R$150,MATCH(Trade_Board!A133,Raw_Fangraphs!A$1:A$150,0)),"Not Found")</f>
        <v>101</v>
      </c>
      <c r="E133" s="11">
        <f t="shared" si="4"/>
        <v>-4.0000000000000036E-3</v>
      </c>
      <c r="F133" s="11" t="str">
        <f t="shared" si="5"/>
        <v>Solid Contributor</v>
      </c>
    </row>
    <row r="134" spans="1:6" ht="16" x14ac:dyDescent="0.2">
      <c r="A134" s="10" t="str">
        <f>Raw_Fangraphs!A134</f>
        <v>Jakob Marsee</v>
      </c>
      <c r="B134" s="11">
        <f>IFERROR(INDEX(Raw_Fangraphs!P$1:P$150, MATCH(Trade_Board!A134, Raw_Fangraphs!A$1:A$150,0)),"Not Found")</f>
        <v>0.28699999999999998</v>
      </c>
      <c r="C134" s="11">
        <f>IFERROR(INDEX(Raw_Fangraphs!Q$1:Q$150,MATCH(Trade_Board!A134,Raw_Fangraphs!A$1:A$150,0)),"Not Found")</f>
        <v>0.30499999999999999</v>
      </c>
      <c r="D134" s="11">
        <f>IFERROR(INDEX(Raw_Fangraphs!R$1:R$150,MATCH(Trade_Board!A134,Raw_Fangraphs!A$1:A$150,0)),"Not Found")</f>
        <v>77</v>
      </c>
      <c r="E134" s="11">
        <f t="shared" si="4"/>
        <v>1.8000000000000016E-2</v>
      </c>
      <c r="F134" s="11" t="str">
        <f t="shared" si="5"/>
        <v>Buy-Low/Unlucky And Below Average Production</v>
      </c>
    </row>
    <row r="135" spans="1:6" ht="16" x14ac:dyDescent="0.2">
      <c r="A135" s="10" t="str">
        <f>Raw_Fangraphs!A135</f>
        <v>Josh Naylor</v>
      </c>
      <c r="B135" s="11">
        <f>IFERROR(INDEX(Raw_Fangraphs!P$1:P$150, MATCH(Trade_Board!A135, Raw_Fangraphs!A$1:A$150,0)),"Not Found")</f>
        <v>0.29899999999999999</v>
      </c>
      <c r="C135" s="11">
        <f>IFERROR(INDEX(Raw_Fangraphs!Q$1:Q$150,MATCH(Trade_Board!A135,Raw_Fangraphs!A$1:A$150,0)),"Not Found")</f>
        <v>0.31900000000000001</v>
      </c>
      <c r="D135" s="11">
        <f>IFERROR(INDEX(Raw_Fangraphs!R$1:R$150,MATCH(Trade_Board!A135,Raw_Fangraphs!A$1:A$150,0)),"Not Found")</f>
        <v>95</v>
      </c>
      <c r="E135" s="11">
        <f t="shared" si="4"/>
        <v>2.0000000000000018E-2</v>
      </c>
      <c r="F135" s="11" t="str">
        <f t="shared" si="5"/>
        <v>Buy-Low/Unlucky And Below Average Production</v>
      </c>
    </row>
    <row r="136" spans="1:6" ht="16" x14ac:dyDescent="0.2">
      <c r="A136" s="10" t="str">
        <f>Raw_Fangraphs!A136</f>
        <v>Jarren Duran</v>
      </c>
      <c r="B136" s="11">
        <f>IFERROR(INDEX(Raw_Fangraphs!P$1:P$150, MATCH(Trade_Board!A136, Raw_Fangraphs!A$1:A$150,0)),"Not Found")</f>
        <v>0.26800000000000002</v>
      </c>
      <c r="C136" s="11">
        <f>IFERROR(INDEX(Raw_Fangraphs!Q$1:Q$150,MATCH(Trade_Board!A136,Raw_Fangraphs!A$1:A$150,0)),"Not Found")</f>
        <v>0.29599999999999999</v>
      </c>
      <c r="D136" s="11">
        <f>IFERROR(INDEX(Raw_Fangraphs!R$1:R$150,MATCH(Trade_Board!A136,Raw_Fangraphs!A$1:A$150,0)),"Not Found")</f>
        <v>64</v>
      </c>
      <c r="E136" s="11">
        <f t="shared" si="4"/>
        <v>2.7999999999999969E-2</v>
      </c>
      <c r="F136" s="11" t="str">
        <f t="shared" si="5"/>
        <v>Buy-Low/Unlucky And Below Average Production</v>
      </c>
    </row>
    <row r="137" spans="1:6" ht="16" x14ac:dyDescent="0.2">
      <c r="A137" s="10" t="str">
        <f>Raw_Fangraphs!A137</f>
        <v>Willi Castro</v>
      </c>
      <c r="B137" s="11">
        <f>IFERROR(INDEX(Raw_Fangraphs!P$1:P$150, MATCH(Trade_Board!A137, Raw_Fangraphs!A$1:A$150,0)),"Not Found")</f>
        <v>0.317</v>
      </c>
      <c r="C137" s="11">
        <f>IFERROR(INDEX(Raw_Fangraphs!Q$1:Q$150,MATCH(Trade_Board!A137,Raw_Fangraphs!A$1:A$150,0)),"Not Found")</f>
        <v>0.29399999999999998</v>
      </c>
      <c r="D137" s="11">
        <f>IFERROR(INDEX(Raw_Fangraphs!R$1:R$150,MATCH(Trade_Board!A137,Raw_Fangraphs!A$1:A$150,0)),"Not Found")</f>
        <v>85</v>
      </c>
      <c r="E137" s="11">
        <f t="shared" si="4"/>
        <v>-2.300000000000002E-2</v>
      </c>
      <c r="F137" s="11" t="str">
        <f t="shared" si="5"/>
        <v>Lucky Hitter With Low Production</v>
      </c>
    </row>
    <row r="138" spans="1:6" ht="16" x14ac:dyDescent="0.2">
      <c r="A138" s="10" t="str">
        <f>Raw_Fangraphs!A138</f>
        <v>Willy Adames</v>
      </c>
      <c r="B138" s="11">
        <f>IFERROR(INDEX(Raw_Fangraphs!P$1:P$150, MATCH(Trade_Board!A138, Raw_Fangraphs!A$1:A$150,0)),"Not Found")</f>
        <v>0.30399999999999999</v>
      </c>
      <c r="C138" s="11">
        <f>IFERROR(INDEX(Raw_Fangraphs!Q$1:Q$150,MATCH(Trade_Board!A138,Raw_Fangraphs!A$1:A$150,0)),"Not Found")</f>
        <v>0.29099999999999998</v>
      </c>
      <c r="D138" s="11">
        <f>IFERROR(INDEX(Raw_Fangraphs!R$1:R$150,MATCH(Trade_Board!A138,Raw_Fangraphs!A$1:A$150,0)),"Not Found")</f>
        <v>93</v>
      </c>
      <c r="E138" s="11">
        <f t="shared" si="4"/>
        <v>-1.3000000000000012E-2</v>
      </c>
      <c r="F138" s="11" t="str">
        <f t="shared" si="5"/>
        <v>Solid Contributor</v>
      </c>
    </row>
    <row r="139" spans="1:6" ht="16" x14ac:dyDescent="0.2">
      <c r="A139" s="10" t="str">
        <f>Raw_Fangraphs!A139</f>
        <v>Matt McLain</v>
      </c>
      <c r="B139" s="11">
        <f>IFERROR(INDEX(Raw_Fangraphs!P$1:P$150, MATCH(Trade_Board!A139, Raw_Fangraphs!A$1:A$150,0)),"Not Found")</f>
        <v>0.28299999999999997</v>
      </c>
      <c r="C139" s="11">
        <f>IFERROR(INDEX(Raw_Fangraphs!Q$1:Q$150,MATCH(Trade_Board!A139,Raw_Fangraphs!A$1:A$150,0)),"Not Found")</f>
        <v>0.317</v>
      </c>
      <c r="D139" s="11">
        <f>IFERROR(INDEX(Raw_Fangraphs!R$1:R$150,MATCH(Trade_Board!A139,Raw_Fangraphs!A$1:A$150,0)),"Not Found")</f>
        <v>71</v>
      </c>
      <c r="E139" s="11">
        <f t="shared" si="4"/>
        <v>3.400000000000003E-2</v>
      </c>
      <c r="F139" s="11" t="str">
        <f t="shared" si="5"/>
        <v>Buy-Low/Unlucky And Below Average Production</v>
      </c>
    </row>
    <row r="140" spans="1:6" ht="16" x14ac:dyDescent="0.2">
      <c r="A140" s="10" t="str">
        <f>Raw_Fangraphs!A140</f>
        <v>Jo Adell</v>
      </c>
      <c r="B140" s="11">
        <f>IFERROR(INDEX(Raw_Fangraphs!P$1:P$150, MATCH(Trade_Board!A140, Raw_Fangraphs!A$1:A$150,0)),"Not Found")</f>
        <v>0.30099999999999999</v>
      </c>
      <c r="C140" s="11">
        <f>IFERROR(INDEX(Raw_Fangraphs!Q$1:Q$150,MATCH(Trade_Board!A140,Raw_Fangraphs!A$1:A$150,0)),"Not Found")</f>
        <v>0.32400000000000001</v>
      </c>
      <c r="D140" s="11">
        <f>IFERROR(INDEX(Raw_Fangraphs!R$1:R$150,MATCH(Trade_Board!A140,Raw_Fangraphs!A$1:A$150,0)),"Not Found")</f>
        <v>89</v>
      </c>
      <c r="E140" s="11">
        <f t="shared" si="4"/>
        <v>2.300000000000002E-2</v>
      </c>
      <c r="F140" s="11" t="str">
        <f t="shared" si="5"/>
        <v>Buy-Low/Unlucky And Below Average Production</v>
      </c>
    </row>
    <row r="141" spans="1:6" ht="16" x14ac:dyDescent="0.2">
      <c r="A141" s="10" t="str">
        <f>Raw_Fangraphs!A141</f>
        <v>Austin Riley</v>
      </c>
      <c r="B141" s="11">
        <f>IFERROR(INDEX(Raw_Fangraphs!P$1:P$150, MATCH(Trade_Board!A141, Raw_Fangraphs!A$1:A$150,0)),"Not Found")</f>
        <v>0.27900000000000003</v>
      </c>
      <c r="C141" s="11">
        <f>IFERROR(INDEX(Raw_Fangraphs!Q$1:Q$150,MATCH(Trade_Board!A141,Raw_Fangraphs!A$1:A$150,0)),"Not Found")</f>
        <v>0.28699999999999998</v>
      </c>
      <c r="D141" s="11">
        <f>IFERROR(INDEX(Raw_Fangraphs!R$1:R$150,MATCH(Trade_Board!A141,Raw_Fangraphs!A$1:A$150,0)),"Not Found")</f>
        <v>73</v>
      </c>
      <c r="E141" s="11">
        <f t="shared" si="4"/>
        <v>7.9999999999999516E-3</v>
      </c>
      <c r="F141" s="11" t="str">
        <f t="shared" si="5"/>
        <v>Buy-Low/Unlucky And Below Average Production</v>
      </c>
    </row>
    <row r="142" spans="1:6" ht="16" x14ac:dyDescent="0.2">
      <c r="A142" s="10" t="str">
        <f>Raw_Fangraphs!A142</f>
        <v>Spencer Torkelson</v>
      </c>
      <c r="B142" s="11">
        <f>IFERROR(INDEX(Raw_Fangraphs!P$1:P$150, MATCH(Trade_Board!A142, Raw_Fangraphs!A$1:A$150,0)),"Not Found")</f>
        <v>0.316</v>
      </c>
      <c r="C142" s="11">
        <f>IFERROR(INDEX(Raw_Fangraphs!Q$1:Q$150,MATCH(Trade_Board!A142,Raw_Fangraphs!A$1:A$150,0)),"Not Found")</f>
        <v>0.32200000000000001</v>
      </c>
      <c r="D142" s="11">
        <f>IFERROR(INDEX(Raw_Fangraphs!R$1:R$150,MATCH(Trade_Board!A142,Raw_Fangraphs!A$1:A$150,0)),"Not Found")</f>
        <v>101</v>
      </c>
      <c r="E142" s="11">
        <f t="shared" si="4"/>
        <v>6.0000000000000053E-3</v>
      </c>
      <c r="F142" s="11" t="str">
        <f t="shared" si="5"/>
        <v>Unlucky, Yet Above Average Production</v>
      </c>
    </row>
    <row r="143" spans="1:6" ht="16" x14ac:dyDescent="0.2">
      <c r="A143" s="10" t="str">
        <f>Raw_Fangraphs!A143</f>
        <v>Brett Baty</v>
      </c>
      <c r="B143" s="11">
        <f>IFERROR(INDEX(Raw_Fangraphs!P$1:P$150, MATCH(Trade_Board!A143, Raw_Fangraphs!A$1:A$150,0)),"Not Found")</f>
        <v>0.27600000000000002</v>
      </c>
      <c r="C143" s="11">
        <f>IFERROR(INDEX(Raw_Fangraphs!Q$1:Q$150,MATCH(Trade_Board!A143,Raw_Fangraphs!A$1:A$150,0)),"Not Found")</f>
        <v>0.309</v>
      </c>
      <c r="D143" s="11">
        <f>IFERROR(INDEX(Raw_Fangraphs!R$1:R$150,MATCH(Trade_Board!A143,Raw_Fangraphs!A$1:A$150,0)),"Not Found")</f>
        <v>75</v>
      </c>
      <c r="E143" s="11">
        <f t="shared" si="4"/>
        <v>3.2999999999999974E-2</v>
      </c>
      <c r="F143" s="11" t="str">
        <f t="shared" si="5"/>
        <v>Buy-Low/Unlucky And Below Average Production</v>
      </c>
    </row>
    <row r="144" spans="1:6" ht="16" x14ac:dyDescent="0.2">
      <c r="A144" s="10" t="str">
        <f>Raw_Fangraphs!A144</f>
        <v>Kyle Manzardo</v>
      </c>
      <c r="B144" s="11">
        <f>IFERROR(INDEX(Raw_Fangraphs!P$1:P$150, MATCH(Trade_Board!A144, Raw_Fangraphs!A$1:A$150,0)),"Not Found")</f>
        <v>0.3</v>
      </c>
      <c r="C144" s="11">
        <f>IFERROR(INDEX(Raw_Fangraphs!Q$1:Q$150,MATCH(Trade_Board!A144,Raw_Fangraphs!A$1:A$150,0)),"Not Found")</f>
        <v>0.307</v>
      </c>
      <c r="D144" s="11">
        <f>IFERROR(INDEX(Raw_Fangraphs!R$1:R$150,MATCH(Trade_Board!A144,Raw_Fangraphs!A$1:A$150,0)),"Not Found")</f>
        <v>91</v>
      </c>
      <c r="E144" s="11">
        <f t="shared" si="4"/>
        <v>7.0000000000000062E-3</v>
      </c>
      <c r="F144" s="11" t="str">
        <f t="shared" si="5"/>
        <v>Buy-Low/Unlucky And Below Average Production</v>
      </c>
    </row>
    <row r="145" spans="1:6" ht="16" x14ac:dyDescent="0.2">
      <c r="A145" s="10" t="str">
        <f>Raw_Fangraphs!A145</f>
        <v>Sal Frelick</v>
      </c>
      <c r="B145" s="11">
        <f>IFERROR(INDEX(Raw_Fangraphs!P$1:P$150, MATCH(Trade_Board!A145, Raw_Fangraphs!A$1:A$150,0)),"Not Found")</f>
        <v>0.28199999999999997</v>
      </c>
      <c r="C145" s="11">
        <f>IFERROR(INDEX(Raw_Fangraphs!Q$1:Q$150,MATCH(Trade_Board!A145,Raw_Fangraphs!A$1:A$150,0)),"Not Found")</f>
        <v>0.28599999999999998</v>
      </c>
      <c r="D145" s="11">
        <f>IFERROR(INDEX(Raw_Fangraphs!R$1:R$150,MATCH(Trade_Board!A145,Raw_Fangraphs!A$1:A$150,0)),"Not Found")</f>
        <v>77</v>
      </c>
      <c r="E145" s="11">
        <f t="shared" si="4"/>
        <v>4.0000000000000036E-3</v>
      </c>
      <c r="F145" s="11" t="str">
        <f t="shared" si="5"/>
        <v>Buy-Low/Unlucky And Below Average Production</v>
      </c>
    </row>
    <row r="146" spans="1:6" ht="16" x14ac:dyDescent="0.2">
      <c r="A146" s="10" t="str">
        <f>Raw_Fangraphs!A146</f>
        <v>Marcus Semien</v>
      </c>
      <c r="B146" s="11">
        <f>IFERROR(INDEX(Raw_Fangraphs!P$1:P$150, MATCH(Trade_Board!A146, Raw_Fangraphs!A$1:A$150,0)),"Not Found")</f>
        <v>0.27100000000000002</v>
      </c>
      <c r="C146" s="11">
        <f>IFERROR(INDEX(Raw_Fangraphs!Q$1:Q$150,MATCH(Trade_Board!A146,Raw_Fangraphs!A$1:A$150,0)),"Not Found")</f>
        <v>0.316</v>
      </c>
      <c r="D146" s="11">
        <f>IFERROR(INDEX(Raw_Fangraphs!R$1:R$150,MATCH(Trade_Board!A146,Raw_Fangraphs!A$1:A$150,0)),"Not Found")</f>
        <v>72</v>
      </c>
      <c r="E146" s="11">
        <f t="shared" si="4"/>
        <v>4.4999999999999984E-2</v>
      </c>
      <c r="F146" s="11" t="str">
        <f t="shared" si="5"/>
        <v>Buy-Low/Unlucky And Below Average Production</v>
      </c>
    </row>
    <row r="147" spans="1:6" ht="16" x14ac:dyDescent="0.2">
      <c r="A147" s="10" t="str">
        <f>Raw_Fangraphs!A147</f>
        <v>Alec Bohm</v>
      </c>
      <c r="B147" s="11">
        <f>IFERROR(INDEX(Raw_Fangraphs!P$1:P$150, MATCH(Trade_Board!A147, Raw_Fangraphs!A$1:A$150,0)),"Not Found")</f>
        <v>0.28000000000000003</v>
      </c>
      <c r="C147" s="11">
        <f>IFERROR(INDEX(Raw_Fangraphs!Q$1:Q$150,MATCH(Trade_Board!A147,Raw_Fangraphs!A$1:A$150,0)),"Not Found")</f>
        <v>0.3</v>
      </c>
      <c r="D147" s="11">
        <f>IFERROR(INDEX(Raw_Fangraphs!R$1:R$150,MATCH(Trade_Board!A147,Raw_Fangraphs!A$1:A$150,0)),"Not Found")</f>
        <v>73</v>
      </c>
      <c r="E147" s="11">
        <f t="shared" si="4"/>
        <v>1.9999999999999962E-2</v>
      </c>
      <c r="F147" s="11" t="str">
        <f t="shared" si="5"/>
        <v>Buy-Low/Unlucky And Below Average Production</v>
      </c>
    </row>
    <row r="148" spans="1:6" ht="16" x14ac:dyDescent="0.2">
      <c r="A148" s="10" t="str">
        <f>Raw_Fangraphs!A148</f>
        <v>Jorge Soler</v>
      </c>
      <c r="B148" s="11">
        <f>IFERROR(INDEX(Raw_Fangraphs!P$1:P$150, MATCH(Trade_Board!A148, Raw_Fangraphs!A$1:A$150,0)),"Not Found")</f>
        <v>0.30399999999999999</v>
      </c>
      <c r="C148" s="11">
        <f>IFERROR(INDEX(Raw_Fangraphs!Q$1:Q$150,MATCH(Trade_Board!A148,Raw_Fangraphs!A$1:A$150,0)),"Not Found")</f>
        <v>0.307</v>
      </c>
      <c r="D148" s="11">
        <f>IFERROR(INDEX(Raw_Fangraphs!R$1:R$150,MATCH(Trade_Board!A148,Raw_Fangraphs!A$1:A$150,0)),"Not Found")</f>
        <v>92</v>
      </c>
      <c r="E148" s="11">
        <f t="shared" si="4"/>
        <v>3.0000000000000027E-3</v>
      </c>
      <c r="F148" s="11" t="str">
        <f t="shared" si="5"/>
        <v>Buy-Low/Unlucky And Below Average Production</v>
      </c>
    </row>
    <row r="149" spans="1:6" ht="16" x14ac:dyDescent="0.2">
      <c r="A149" s="10" t="str">
        <f>Raw_Fangraphs!A149</f>
        <v>Ezequiel Tovar</v>
      </c>
      <c r="B149" s="11">
        <f>IFERROR(INDEX(Raw_Fangraphs!P$1:P$150, MATCH(Trade_Board!A149, Raw_Fangraphs!A$1:A$150,0)),"Not Found")</f>
        <v>0.251</v>
      </c>
      <c r="C149" s="11">
        <f>IFERROR(INDEX(Raw_Fangraphs!Q$1:Q$150,MATCH(Trade_Board!A149,Raw_Fangraphs!A$1:A$150,0)),"Not Found")</f>
        <v>0.27600000000000002</v>
      </c>
      <c r="D149" s="11">
        <f>IFERROR(INDEX(Raw_Fangraphs!R$1:R$150,MATCH(Trade_Board!A149,Raw_Fangraphs!A$1:A$150,0)),"Not Found")</f>
        <v>41</v>
      </c>
      <c r="E149" s="11">
        <f t="shared" si="4"/>
        <v>2.5000000000000022E-2</v>
      </c>
      <c r="F149" s="11" t="str">
        <f t="shared" si="5"/>
        <v>Buy-Low/Unlucky And Below Average Production</v>
      </c>
    </row>
    <row r="150" spans="1:6" ht="16" x14ac:dyDescent="0.2">
      <c r="A150" s="10" t="str">
        <f>Raw_Fangraphs!A150</f>
        <v>Salvador Perez</v>
      </c>
      <c r="B150" s="11">
        <f>IFERROR(INDEX(Raw_Fangraphs!P$1:P$150, MATCH(Trade_Board!A150, Raw_Fangraphs!A$1:A$150,0)),"Not Found")</f>
        <v>0.25800000000000001</v>
      </c>
      <c r="C150" s="11">
        <f>IFERROR(INDEX(Raw_Fangraphs!Q$1:Q$150,MATCH(Trade_Board!A150,Raw_Fangraphs!A$1:A$150,0)),"Not Found")</f>
        <v>0.28699999999999998</v>
      </c>
      <c r="D150" s="11">
        <f>IFERROR(INDEX(Raw_Fangraphs!R$1:R$150,MATCH(Trade_Board!A150,Raw_Fangraphs!A$1:A$150,0)),"Not Found")</f>
        <v>58</v>
      </c>
      <c r="E150" s="11">
        <f t="shared" si="4"/>
        <v>2.899999999999997E-2</v>
      </c>
      <c r="F150" s="11" t="str">
        <f t="shared" si="5"/>
        <v>Buy-Low/Unlucky And Below Average Production</v>
      </c>
    </row>
  </sheetData>
  <conditionalFormatting sqref="F2:F150 H6:I6">
    <cfRule type="cellIs" dxfId="4" priority="2" stopIfTrue="1" operator="equal">
      <formula>"Unlucky, Yet Above Average Production"</formula>
    </cfRule>
    <cfRule type="cellIs" dxfId="3" priority="4" operator="equal">
      <formula>"Buy-Low/Unlucky And Below Average Production"</formula>
    </cfRule>
    <cfRule type="cellIs" dxfId="2" priority="5" operator="equal">
      <formula>"Solid Contributor"</formula>
    </cfRule>
    <cfRule type="cellIs" dxfId="1" priority="6" operator="equal">
      <formula>"Elite Player/Run Producer"</formula>
    </cfRule>
  </conditionalFormatting>
  <conditionalFormatting sqref="F2:H150">
    <cfRule type="cellIs" dxfId="0" priority="1" operator="equal">
      <formula>"Lucky Hitter With Low Production"</formula>
    </cfRule>
  </conditionalFormatting>
  <dataValidations count="1">
    <dataValidation type="list" allowBlank="1" showInputMessage="1" showErrorMessage="1" sqref="H1:I1" xr:uid="{B1E540C1-37A0-2B47-ACA2-31AD9AD4DE90}">
      <formula1>$A$2:$A$150</formula1>
    </dataValidation>
  </dataValidation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3941-1186-407C-BD90-00ECF04CADE0}">
  <dimension ref="A1:V15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0" bestFit="1" customWidth="1"/>
  </cols>
  <sheetData>
    <row r="1" spans="1:22" ht="18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</row>
    <row r="2" spans="1:22" ht="17" thickBot="1" x14ac:dyDescent="0.25">
      <c r="A2" s="8" t="s">
        <v>22</v>
      </c>
      <c r="B2" s="8" t="s">
        <v>23</v>
      </c>
      <c r="C2" s="4">
        <v>96</v>
      </c>
      <c r="D2" s="4">
        <v>418</v>
      </c>
      <c r="E2" s="4">
        <v>21</v>
      </c>
      <c r="F2" s="4">
        <v>63</v>
      </c>
      <c r="G2" s="4">
        <v>53</v>
      </c>
      <c r="H2" s="4">
        <v>24</v>
      </c>
      <c r="I2" s="5">
        <v>0.112</v>
      </c>
      <c r="J2" s="6">
        <v>0.25800000000000001</v>
      </c>
      <c r="K2" s="4">
        <v>0.24</v>
      </c>
      <c r="L2" s="4">
        <v>0.35899999999999999</v>
      </c>
      <c r="M2" s="7">
        <v>0.29099999999999998</v>
      </c>
      <c r="N2" s="4">
        <v>0.38600000000000001</v>
      </c>
      <c r="O2" s="4">
        <v>0.53100000000000003</v>
      </c>
      <c r="P2" s="4">
        <v>0.39500000000000002</v>
      </c>
      <c r="Q2" s="4">
        <v>0.36299999999999999</v>
      </c>
      <c r="R2" s="4">
        <v>153</v>
      </c>
      <c r="S2" s="7">
        <v>3.3</v>
      </c>
      <c r="T2" s="7">
        <v>30.1</v>
      </c>
      <c r="U2" s="4">
        <v>15.4</v>
      </c>
      <c r="V2" s="4">
        <v>6</v>
      </c>
    </row>
    <row r="3" spans="1:22" ht="17" thickBot="1" x14ac:dyDescent="0.25">
      <c r="A3" s="8" t="s">
        <v>24</v>
      </c>
      <c r="B3" s="8" t="s">
        <v>25</v>
      </c>
      <c r="C3" s="4">
        <v>91</v>
      </c>
      <c r="D3" s="4">
        <v>403</v>
      </c>
      <c r="E3" s="4">
        <v>13</v>
      </c>
      <c r="F3" s="4">
        <v>51</v>
      </c>
      <c r="G3" s="4">
        <v>39</v>
      </c>
      <c r="H3" s="4">
        <v>30</v>
      </c>
      <c r="I3" s="5">
        <v>9.7000000000000003E-2</v>
      </c>
      <c r="J3" s="6">
        <v>0.17100000000000001</v>
      </c>
      <c r="K3" s="4">
        <v>0.17499999999999999</v>
      </c>
      <c r="L3" s="4">
        <v>0.32</v>
      </c>
      <c r="M3" s="7">
        <v>0.28599999999999998</v>
      </c>
      <c r="N3" s="4">
        <v>0.35499999999999998</v>
      </c>
      <c r="O3" s="4">
        <v>0.46100000000000002</v>
      </c>
      <c r="P3" s="4">
        <v>0.35299999999999998</v>
      </c>
      <c r="Q3" s="4">
        <v>0.38800000000000001</v>
      </c>
      <c r="R3" s="4">
        <v>123</v>
      </c>
      <c r="S3" s="7">
        <v>4.9000000000000004</v>
      </c>
      <c r="T3" s="7">
        <v>16</v>
      </c>
      <c r="U3" s="4">
        <v>16.7</v>
      </c>
      <c r="V3" s="4">
        <v>4.8</v>
      </c>
    </row>
    <row r="4" spans="1:22" ht="17" thickBot="1" x14ac:dyDescent="0.25">
      <c r="A4" s="8" t="s">
        <v>26</v>
      </c>
      <c r="B4" s="8" t="s">
        <v>27</v>
      </c>
      <c r="C4" s="4">
        <v>97</v>
      </c>
      <c r="D4" s="4">
        <v>454</v>
      </c>
      <c r="E4" s="4">
        <v>28</v>
      </c>
      <c r="F4" s="4">
        <v>89</v>
      </c>
      <c r="G4" s="4">
        <v>64</v>
      </c>
      <c r="H4" s="4">
        <v>15</v>
      </c>
      <c r="I4" s="5">
        <v>0.17399999999999999</v>
      </c>
      <c r="J4" s="6">
        <v>0.28399999999999997</v>
      </c>
      <c r="K4" s="4">
        <v>0.29499999999999998</v>
      </c>
      <c r="L4" s="4">
        <v>0.35</v>
      </c>
      <c r="M4" s="7">
        <v>0.27900000000000003</v>
      </c>
      <c r="N4" s="4">
        <v>0.41</v>
      </c>
      <c r="O4" s="4">
        <v>0.57499999999999996</v>
      </c>
      <c r="P4" s="4">
        <v>0.41599999999999998</v>
      </c>
      <c r="Q4" s="4">
        <v>0.433</v>
      </c>
      <c r="R4" s="4">
        <v>166</v>
      </c>
      <c r="S4" s="7">
        <v>2</v>
      </c>
      <c r="T4" s="7">
        <v>38.1</v>
      </c>
      <c r="U4" s="4">
        <v>-7.7</v>
      </c>
      <c r="V4" s="4">
        <v>4.5999999999999996</v>
      </c>
    </row>
    <row r="5" spans="1:22" ht="17" thickBot="1" x14ac:dyDescent="0.25">
      <c r="A5" s="8" t="s">
        <v>28</v>
      </c>
      <c r="B5" s="8" t="s">
        <v>29</v>
      </c>
      <c r="C5" s="4">
        <v>96</v>
      </c>
      <c r="D5" s="4">
        <v>420</v>
      </c>
      <c r="E5" s="4">
        <v>31</v>
      </c>
      <c r="F5" s="4">
        <v>65</v>
      </c>
      <c r="G5" s="4">
        <v>70</v>
      </c>
      <c r="H5" s="4">
        <v>1</v>
      </c>
      <c r="I5" s="5">
        <v>0.15</v>
      </c>
      <c r="J5" s="6">
        <v>0.17100000000000001</v>
      </c>
      <c r="K5" s="4">
        <v>0.315</v>
      </c>
      <c r="L5" s="4">
        <v>0.32100000000000001</v>
      </c>
      <c r="M5" s="7">
        <v>0.318</v>
      </c>
      <c r="N5" s="4">
        <v>0.42599999999999999</v>
      </c>
      <c r="O5" s="4">
        <v>0.63300000000000001</v>
      </c>
      <c r="P5" s="4">
        <v>0.439</v>
      </c>
      <c r="Q5" s="4">
        <v>0.47599999999999998</v>
      </c>
      <c r="R5" s="4">
        <v>186</v>
      </c>
      <c r="S5" s="7">
        <v>-3.1</v>
      </c>
      <c r="T5" s="7">
        <v>39.6</v>
      </c>
      <c r="U5" s="4">
        <v>-11</v>
      </c>
      <c r="V5" s="4">
        <v>4.4000000000000004</v>
      </c>
    </row>
    <row r="6" spans="1:22" ht="17" thickBot="1" x14ac:dyDescent="0.25">
      <c r="A6" s="8" t="s">
        <v>30</v>
      </c>
      <c r="B6" s="8" t="s">
        <v>31</v>
      </c>
      <c r="C6" s="4">
        <v>95</v>
      </c>
      <c r="D6" s="4">
        <v>410</v>
      </c>
      <c r="E6" s="4">
        <v>9</v>
      </c>
      <c r="F6" s="4">
        <v>61</v>
      </c>
      <c r="G6" s="4">
        <v>45</v>
      </c>
      <c r="H6" s="4">
        <v>17</v>
      </c>
      <c r="I6" s="5">
        <v>4.9000000000000002E-2</v>
      </c>
      <c r="J6" s="6">
        <v>0.14099999999999999</v>
      </c>
      <c r="K6" s="4">
        <v>0.17100000000000001</v>
      </c>
      <c r="L6" s="4">
        <v>0.37</v>
      </c>
      <c r="M6" s="7">
        <v>0.33400000000000002</v>
      </c>
      <c r="N6" s="4">
        <v>0.36799999999999999</v>
      </c>
      <c r="O6" s="4">
        <v>0.505</v>
      </c>
      <c r="P6" s="4">
        <v>0.376</v>
      </c>
      <c r="Q6" s="4">
        <v>0.33900000000000002</v>
      </c>
      <c r="R6" s="4">
        <v>137</v>
      </c>
      <c r="S6" s="7">
        <v>3.8</v>
      </c>
      <c r="T6" s="7">
        <v>22.2</v>
      </c>
      <c r="U6" s="4">
        <v>7</v>
      </c>
      <c r="V6" s="4">
        <v>4.3</v>
      </c>
    </row>
    <row r="7" spans="1:22" ht="17" thickBot="1" x14ac:dyDescent="0.25">
      <c r="A7" s="8" t="s">
        <v>32</v>
      </c>
      <c r="B7" s="8" t="s">
        <v>33</v>
      </c>
      <c r="C7" s="4">
        <v>93</v>
      </c>
      <c r="D7" s="4">
        <v>413</v>
      </c>
      <c r="E7" s="4">
        <v>8</v>
      </c>
      <c r="F7" s="4">
        <v>58</v>
      </c>
      <c r="G7" s="4">
        <v>34</v>
      </c>
      <c r="H7" s="4">
        <v>11</v>
      </c>
      <c r="I7" s="5">
        <v>0.14499999999999999</v>
      </c>
      <c r="J7" s="6">
        <v>0.13600000000000001</v>
      </c>
      <c r="K7" s="4">
        <v>0.13700000000000001</v>
      </c>
      <c r="L7" s="4">
        <v>0.318</v>
      </c>
      <c r="M7" s="7">
        <v>0.28299999999999997</v>
      </c>
      <c r="N7" s="4">
        <v>0.39200000000000002</v>
      </c>
      <c r="O7" s="4">
        <v>0.42</v>
      </c>
      <c r="P7" s="4">
        <v>0.36399999999999999</v>
      </c>
      <c r="Q7" s="4">
        <v>0.36599999999999999</v>
      </c>
      <c r="R7" s="4">
        <v>133</v>
      </c>
      <c r="S7" s="7">
        <v>4.8</v>
      </c>
      <c r="T7" s="7">
        <v>21</v>
      </c>
      <c r="U7" s="4">
        <v>3.8</v>
      </c>
      <c r="V7" s="4">
        <v>4</v>
      </c>
    </row>
    <row r="8" spans="1:22" ht="17" thickBot="1" x14ac:dyDescent="0.25">
      <c r="A8" s="8" t="s">
        <v>34</v>
      </c>
      <c r="B8" s="8" t="s">
        <v>33</v>
      </c>
      <c r="C8" s="4">
        <v>87</v>
      </c>
      <c r="D8" s="4">
        <v>361</v>
      </c>
      <c r="E8" s="4">
        <v>19</v>
      </c>
      <c r="F8" s="4">
        <v>48</v>
      </c>
      <c r="G8" s="4">
        <v>60</v>
      </c>
      <c r="H8" s="4">
        <v>0</v>
      </c>
      <c r="I8" s="5">
        <v>6.4000000000000001E-2</v>
      </c>
      <c r="J8" s="6">
        <v>0.21299999999999999</v>
      </c>
      <c r="K8" s="4">
        <v>0.246</v>
      </c>
      <c r="L8" s="4">
        <v>0.28399999999999997</v>
      </c>
      <c r="M8" s="7">
        <v>0.26200000000000001</v>
      </c>
      <c r="N8" s="4">
        <v>0.32300000000000001</v>
      </c>
      <c r="O8" s="4">
        <v>0.50800000000000001</v>
      </c>
      <c r="P8" s="4">
        <v>0.35599999999999998</v>
      </c>
      <c r="Q8" s="4">
        <v>0.38</v>
      </c>
      <c r="R8" s="4">
        <v>128</v>
      </c>
      <c r="S8" s="7">
        <v>0.1</v>
      </c>
      <c r="T8" s="7">
        <v>12.1</v>
      </c>
      <c r="U8" s="4">
        <v>13.2</v>
      </c>
      <c r="V8" s="4">
        <v>3.9</v>
      </c>
    </row>
    <row r="9" spans="1:22" ht="17" thickBot="1" x14ac:dyDescent="0.25">
      <c r="A9" s="8" t="s">
        <v>35</v>
      </c>
      <c r="B9" s="8" t="s">
        <v>36</v>
      </c>
      <c r="C9" s="4">
        <v>91</v>
      </c>
      <c r="D9" s="4">
        <v>402</v>
      </c>
      <c r="E9" s="4">
        <v>4</v>
      </c>
      <c r="F9" s="4">
        <v>48</v>
      </c>
      <c r="G9" s="4">
        <v>35</v>
      </c>
      <c r="H9" s="4">
        <v>8</v>
      </c>
      <c r="I9" s="5">
        <v>0.06</v>
      </c>
      <c r="J9" s="6">
        <v>0.04</v>
      </c>
      <c r="K9" s="4">
        <v>0.13</v>
      </c>
      <c r="L9" s="4">
        <v>0.33</v>
      </c>
      <c r="M9" s="7">
        <v>0.33</v>
      </c>
      <c r="N9" s="4">
        <v>0.36899999999999999</v>
      </c>
      <c r="O9" s="4">
        <v>0.46</v>
      </c>
      <c r="P9" s="4">
        <v>0.35499999999999998</v>
      </c>
      <c r="Q9" s="4">
        <v>0.309</v>
      </c>
      <c r="R9" s="4">
        <v>127</v>
      </c>
      <c r="S9" s="7">
        <v>2.2000000000000002</v>
      </c>
      <c r="T9" s="7">
        <v>15.5</v>
      </c>
      <c r="U9" s="4">
        <v>7.7</v>
      </c>
      <c r="V9" s="4">
        <v>3.7</v>
      </c>
    </row>
    <row r="10" spans="1:22" ht="17" thickBot="1" x14ac:dyDescent="0.25">
      <c r="A10" s="8" t="s">
        <v>37</v>
      </c>
      <c r="B10" s="8" t="s">
        <v>38</v>
      </c>
      <c r="C10" s="4">
        <v>90</v>
      </c>
      <c r="D10" s="4">
        <v>407</v>
      </c>
      <c r="E10" s="4">
        <v>13</v>
      </c>
      <c r="F10" s="4">
        <v>58</v>
      </c>
      <c r="G10" s="4">
        <v>36</v>
      </c>
      <c r="H10" s="4">
        <v>9</v>
      </c>
      <c r="I10" s="5">
        <v>9.8000000000000004E-2</v>
      </c>
      <c r="J10" s="6">
        <v>0.157</v>
      </c>
      <c r="K10" s="4">
        <v>0.14000000000000001</v>
      </c>
      <c r="L10" s="4">
        <v>0.28299999999999997</v>
      </c>
      <c r="M10" s="7">
        <v>0.25900000000000001</v>
      </c>
      <c r="N10" s="4">
        <v>0.35599999999999998</v>
      </c>
      <c r="O10" s="4">
        <v>0.39900000000000002</v>
      </c>
      <c r="P10" s="4">
        <v>0.33700000000000002</v>
      </c>
      <c r="Q10" s="4">
        <v>0.35299999999999998</v>
      </c>
      <c r="R10" s="4">
        <v>114</v>
      </c>
      <c r="S10" s="7">
        <v>2.2000000000000002</v>
      </c>
      <c r="T10" s="7">
        <v>9.3000000000000007</v>
      </c>
      <c r="U10" s="4">
        <v>12.2</v>
      </c>
      <c r="V10" s="4">
        <v>3.5</v>
      </c>
    </row>
    <row r="11" spans="1:22" ht="17" thickBot="1" x14ac:dyDescent="0.25">
      <c r="A11" s="8" t="s">
        <v>39</v>
      </c>
      <c r="B11" s="8" t="s">
        <v>40</v>
      </c>
      <c r="C11" s="4">
        <v>91</v>
      </c>
      <c r="D11" s="4">
        <v>416</v>
      </c>
      <c r="E11" s="4">
        <v>14</v>
      </c>
      <c r="F11" s="4">
        <v>66</v>
      </c>
      <c r="G11" s="4">
        <v>60</v>
      </c>
      <c r="H11" s="4">
        <v>15</v>
      </c>
      <c r="I11" s="5">
        <v>0.13</v>
      </c>
      <c r="J11" s="6">
        <v>0.248</v>
      </c>
      <c r="K11" s="4">
        <v>0.19900000000000001</v>
      </c>
      <c r="L11" s="4">
        <v>0.33500000000000002</v>
      </c>
      <c r="M11" s="7">
        <v>0.26600000000000001</v>
      </c>
      <c r="N11" s="4">
        <v>0.36099999999999999</v>
      </c>
      <c r="O11" s="4">
        <v>0.46500000000000002</v>
      </c>
      <c r="P11" s="4">
        <v>0.35799999999999998</v>
      </c>
      <c r="Q11" s="4">
        <v>0.34799999999999998</v>
      </c>
      <c r="R11" s="4">
        <v>128</v>
      </c>
      <c r="S11" s="7">
        <v>2</v>
      </c>
      <c r="T11" s="7">
        <v>15.9</v>
      </c>
      <c r="U11" s="4">
        <v>5</v>
      </c>
      <c r="V11" s="4">
        <v>3.5</v>
      </c>
    </row>
    <row r="12" spans="1:22" ht="17" thickBot="1" x14ac:dyDescent="0.25">
      <c r="A12" s="8" t="s">
        <v>41</v>
      </c>
      <c r="B12" s="8" t="s">
        <v>42</v>
      </c>
      <c r="C12" s="4">
        <v>92</v>
      </c>
      <c r="D12" s="4">
        <v>406</v>
      </c>
      <c r="E12" s="4">
        <v>22</v>
      </c>
      <c r="F12" s="4">
        <v>65</v>
      </c>
      <c r="G12" s="4">
        <v>58</v>
      </c>
      <c r="H12" s="4">
        <v>6</v>
      </c>
      <c r="I12" s="5">
        <v>0.14799999999999999</v>
      </c>
      <c r="J12" s="6">
        <v>0.22900000000000001</v>
      </c>
      <c r="K12" s="4">
        <v>0.25700000000000001</v>
      </c>
      <c r="L12" s="4">
        <v>0.33900000000000002</v>
      </c>
      <c r="M12" s="7">
        <v>0.29299999999999998</v>
      </c>
      <c r="N12" s="4">
        <v>0.40300000000000002</v>
      </c>
      <c r="O12" s="4">
        <v>0.54900000000000004</v>
      </c>
      <c r="P12" s="4">
        <v>0.40200000000000002</v>
      </c>
      <c r="Q12" s="4">
        <v>0.41099999999999998</v>
      </c>
      <c r="R12" s="4">
        <v>157</v>
      </c>
      <c r="S12" s="7">
        <v>0.6</v>
      </c>
      <c r="T12" s="7">
        <v>28.4</v>
      </c>
      <c r="U12" s="4">
        <v>-9.4</v>
      </c>
      <c r="V12" s="4">
        <v>3.3</v>
      </c>
    </row>
    <row r="13" spans="1:22" ht="17" thickBot="1" x14ac:dyDescent="0.25">
      <c r="A13" s="8" t="s">
        <v>43</v>
      </c>
      <c r="B13" s="8" t="s">
        <v>44</v>
      </c>
      <c r="C13" s="4">
        <v>94</v>
      </c>
      <c r="D13" s="4">
        <v>411</v>
      </c>
      <c r="E13" s="4">
        <v>28</v>
      </c>
      <c r="F13" s="4">
        <v>61</v>
      </c>
      <c r="G13" s="4">
        <v>59</v>
      </c>
      <c r="H13" s="4">
        <v>2</v>
      </c>
      <c r="I13" s="5">
        <v>0.129</v>
      </c>
      <c r="J13" s="6">
        <v>0.19</v>
      </c>
      <c r="K13" s="4">
        <v>0.27600000000000002</v>
      </c>
      <c r="L13" s="4">
        <v>0.28299999999999997</v>
      </c>
      <c r="M13" s="7">
        <v>0.27900000000000003</v>
      </c>
      <c r="N13" s="4">
        <v>0.372</v>
      </c>
      <c r="O13" s="4">
        <v>0.55500000000000005</v>
      </c>
      <c r="P13" s="4">
        <v>0.39200000000000002</v>
      </c>
      <c r="Q13" s="4">
        <v>0.374</v>
      </c>
      <c r="R13" s="4">
        <v>152</v>
      </c>
      <c r="S13" s="7">
        <v>-1.4</v>
      </c>
      <c r="T13" s="7">
        <v>23.9</v>
      </c>
      <c r="U13" s="4">
        <v>-6.7</v>
      </c>
      <c r="V13" s="4">
        <v>3.2</v>
      </c>
    </row>
    <row r="14" spans="1:22" ht="17" thickBot="1" x14ac:dyDescent="0.25">
      <c r="A14" s="8" t="s">
        <v>45</v>
      </c>
      <c r="B14" s="8" t="s">
        <v>46</v>
      </c>
      <c r="C14" s="4">
        <v>94</v>
      </c>
      <c r="D14" s="4">
        <v>409</v>
      </c>
      <c r="E14" s="4">
        <v>21</v>
      </c>
      <c r="F14" s="4">
        <v>64</v>
      </c>
      <c r="G14" s="4">
        <v>59</v>
      </c>
      <c r="H14" s="4">
        <v>11</v>
      </c>
      <c r="I14" s="5">
        <v>0.13700000000000001</v>
      </c>
      <c r="J14" s="6">
        <v>0.16400000000000001</v>
      </c>
      <c r="K14" s="4">
        <v>0.248</v>
      </c>
      <c r="L14" s="4">
        <v>0.24299999999999999</v>
      </c>
      <c r="M14" s="7">
        <v>0.245</v>
      </c>
      <c r="N14" s="4">
        <v>0.35499999999999998</v>
      </c>
      <c r="O14" s="4">
        <v>0.49299999999999999</v>
      </c>
      <c r="P14" s="4">
        <v>0.36599999999999999</v>
      </c>
      <c r="Q14" s="4">
        <v>0.40300000000000002</v>
      </c>
      <c r="R14" s="4">
        <v>135</v>
      </c>
      <c r="S14" s="7">
        <v>0.3</v>
      </c>
      <c r="T14" s="7">
        <v>17</v>
      </c>
      <c r="U14" s="4">
        <v>0.2</v>
      </c>
      <c r="V14" s="4">
        <v>3.2</v>
      </c>
    </row>
    <row r="15" spans="1:22" ht="17" thickBot="1" x14ac:dyDescent="0.25">
      <c r="A15" s="8" t="s">
        <v>47</v>
      </c>
      <c r="B15" s="8" t="s">
        <v>48</v>
      </c>
      <c r="C15" s="4">
        <v>91</v>
      </c>
      <c r="D15" s="4">
        <v>390</v>
      </c>
      <c r="E15" s="4">
        <v>29</v>
      </c>
      <c r="F15" s="4">
        <v>64</v>
      </c>
      <c r="G15" s="4">
        <v>68</v>
      </c>
      <c r="H15" s="4">
        <v>2</v>
      </c>
      <c r="I15" s="5">
        <v>0.123</v>
      </c>
      <c r="J15" s="6">
        <v>0.23300000000000001</v>
      </c>
      <c r="K15" s="4">
        <v>0.32</v>
      </c>
      <c r="L15" s="4">
        <v>0.29699999999999999</v>
      </c>
      <c r="M15" s="7">
        <v>0.27900000000000003</v>
      </c>
      <c r="N15" s="4">
        <v>0.372</v>
      </c>
      <c r="O15" s="4">
        <v>0.59899999999999998</v>
      </c>
      <c r="P15" s="4">
        <v>0.40799999999999997</v>
      </c>
      <c r="Q15" s="4">
        <v>0.38200000000000001</v>
      </c>
      <c r="R15" s="4">
        <v>166</v>
      </c>
      <c r="S15" s="7">
        <v>-0.6</v>
      </c>
      <c r="T15" s="7">
        <v>29.5</v>
      </c>
      <c r="U15" s="4">
        <v>-12</v>
      </c>
      <c r="V15" s="4">
        <v>3.2</v>
      </c>
    </row>
    <row r="16" spans="1:22" ht="17" thickBot="1" x14ac:dyDescent="0.25">
      <c r="A16" s="8" t="s">
        <v>49</v>
      </c>
      <c r="B16" s="8" t="s">
        <v>50</v>
      </c>
      <c r="C16" s="4">
        <v>76</v>
      </c>
      <c r="D16" s="4">
        <v>340</v>
      </c>
      <c r="E16" s="4">
        <v>15</v>
      </c>
      <c r="F16" s="4">
        <v>50</v>
      </c>
      <c r="G16" s="4">
        <v>44</v>
      </c>
      <c r="H16" s="4">
        <v>14</v>
      </c>
      <c r="I16" s="5">
        <v>9.7000000000000003E-2</v>
      </c>
      <c r="J16" s="6">
        <v>0.28499999999999998</v>
      </c>
      <c r="K16" s="4">
        <v>0.218</v>
      </c>
      <c r="L16" s="4">
        <v>0.35199999999999998</v>
      </c>
      <c r="M16" s="7">
        <v>0.27400000000000002</v>
      </c>
      <c r="N16" s="4">
        <v>0.34699999999999998</v>
      </c>
      <c r="O16" s="4">
        <v>0.49199999999999999</v>
      </c>
      <c r="P16" s="4">
        <v>0.36299999999999999</v>
      </c>
      <c r="Q16" s="4">
        <v>0.36199999999999999</v>
      </c>
      <c r="R16" s="4">
        <v>125</v>
      </c>
      <c r="S16" s="7">
        <v>1.5</v>
      </c>
      <c r="T16" s="7">
        <v>11.7</v>
      </c>
      <c r="U16" s="4">
        <v>8.1</v>
      </c>
      <c r="V16" s="4">
        <v>3.1</v>
      </c>
    </row>
    <row r="17" spans="1:22" ht="17" thickBot="1" x14ac:dyDescent="0.25">
      <c r="A17" s="8" t="s">
        <v>51</v>
      </c>
      <c r="B17" s="8" t="s">
        <v>42</v>
      </c>
      <c r="C17" s="4">
        <v>96</v>
      </c>
      <c r="D17" s="4">
        <v>411</v>
      </c>
      <c r="E17" s="4">
        <v>17</v>
      </c>
      <c r="F17" s="4">
        <v>57</v>
      </c>
      <c r="G17" s="4">
        <v>66</v>
      </c>
      <c r="H17" s="4">
        <v>8</v>
      </c>
      <c r="I17" s="5">
        <v>8.3000000000000004E-2</v>
      </c>
      <c r="J17" s="6">
        <v>0.19500000000000001</v>
      </c>
      <c r="K17" s="4">
        <v>0.20200000000000001</v>
      </c>
      <c r="L17" s="4">
        <v>0.29799999999999999</v>
      </c>
      <c r="M17" s="7">
        <v>0.27</v>
      </c>
      <c r="N17" s="4">
        <v>0.33600000000000002</v>
      </c>
      <c r="O17" s="4">
        <v>0.47099999999999997</v>
      </c>
      <c r="P17" s="4">
        <v>0.34799999999999998</v>
      </c>
      <c r="Q17" s="4">
        <v>0.34200000000000003</v>
      </c>
      <c r="R17" s="4">
        <v>121</v>
      </c>
      <c r="S17" s="7">
        <v>-0.8</v>
      </c>
      <c r="T17" s="7">
        <v>9.5</v>
      </c>
      <c r="U17" s="4">
        <v>8</v>
      </c>
      <c r="V17" s="4">
        <v>3.1</v>
      </c>
    </row>
    <row r="18" spans="1:22" ht="17" thickBot="1" x14ac:dyDescent="0.25">
      <c r="A18" s="8" t="s">
        <v>52</v>
      </c>
      <c r="B18" s="8" t="s">
        <v>53</v>
      </c>
      <c r="C18" s="4">
        <v>93</v>
      </c>
      <c r="D18" s="4">
        <v>398</v>
      </c>
      <c r="E18" s="4">
        <v>13</v>
      </c>
      <c r="F18" s="4">
        <v>54</v>
      </c>
      <c r="G18" s="4">
        <v>45</v>
      </c>
      <c r="H18" s="4">
        <v>10</v>
      </c>
      <c r="I18" s="5">
        <v>0.11799999999999999</v>
      </c>
      <c r="J18" s="6">
        <v>0.22900000000000001</v>
      </c>
      <c r="K18" s="4">
        <v>0.22600000000000001</v>
      </c>
      <c r="L18" s="4">
        <v>0.30499999999999999</v>
      </c>
      <c r="M18" s="7">
        <v>0.252</v>
      </c>
      <c r="N18" s="4">
        <v>0.34699999999999998</v>
      </c>
      <c r="O18" s="4">
        <v>0.47799999999999998</v>
      </c>
      <c r="P18" s="4">
        <v>0.35599999999999998</v>
      </c>
      <c r="Q18" s="4">
        <v>0.34399999999999997</v>
      </c>
      <c r="R18" s="4">
        <v>124</v>
      </c>
      <c r="S18" s="7">
        <v>4.2</v>
      </c>
      <c r="T18" s="7">
        <v>15.7</v>
      </c>
      <c r="U18" s="4">
        <v>1.3</v>
      </c>
      <c r="V18" s="4">
        <v>3</v>
      </c>
    </row>
    <row r="19" spans="1:22" ht="17" thickBot="1" x14ac:dyDescent="0.25">
      <c r="A19" s="8" t="s">
        <v>54</v>
      </c>
      <c r="B19" s="8" t="s">
        <v>55</v>
      </c>
      <c r="C19" s="4">
        <v>92</v>
      </c>
      <c r="D19" s="4">
        <v>412</v>
      </c>
      <c r="E19" s="4">
        <v>20</v>
      </c>
      <c r="F19" s="4">
        <v>61</v>
      </c>
      <c r="G19" s="4">
        <v>66</v>
      </c>
      <c r="H19" s="4">
        <v>7</v>
      </c>
      <c r="I19" s="5">
        <v>0.184</v>
      </c>
      <c r="J19" s="6">
        <v>0.316</v>
      </c>
      <c r="K19" s="4">
        <v>0.23100000000000001</v>
      </c>
      <c r="L19" s="4">
        <v>0.375</v>
      </c>
      <c r="M19" s="7">
        <v>0.26600000000000001</v>
      </c>
      <c r="N19" s="4">
        <v>0.40500000000000003</v>
      </c>
      <c r="O19" s="4">
        <v>0.497</v>
      </c>
      <c r="P19" s="4">
        <v>0.38900000000000001</v>
      </c>
      <c r="Q19" s="4">
        <v>0.38</v>
      </c>
      <c r="R19" s="4">
        <v>148</v>
      </c>
      <c r="S19" s="7">
        <v>-0.5</v>
      </c>
      <c r="T19" s="7">
        <v>22.9</v>
      </c>
      <c r="U19" s="4">
        <v>-8.1</v>
      </c>
      <c r="V19" s="4">
        <v>3</v>
      </c>
    </row>
    <row r="20" spans="1:22" ht="17" thickBot="1" x14ac:dyDescent="0.25">
      <c r="A20" s="8" t="s">
        <v>56</v>
      </c>
      <c r="B20" s="8" t="s">
        <v>57</v>
      </c>
      <c r="C20" s="4">
        <v>97</v>
      </c>
      <c r="D20" s="4">
        <v>422</v>
      </c>
      <c r="E20" s="4">
        <v>14</v>
      </c>
      <c r="F20" s="4">
        <v>68</v>
      </c>
      <c r="G20" s="4">
        <v>59</v>
      </c>
      <c r="H20" s="4">
        <v>7</v>
      </c>
      <c r="I20" s="5">
        <v>0.14699999999999999</v>
      </c>
      <c r="J20" s="6">
        <v>0.223</v>
      </c>
      <c r="K20" s="4">
        <v>0.19400000000000001</v>
      </c>
      <c r="L20" s="4">
        <v>0.34799999999999998</v>
      </c>
      <c r="M20" s="7">
        <v>0.28299999999999997</v>
      </c>
      <c r="N20" s="4">
        <v>0.4</v>
      </c>
      <c r="O20" s="4">
        <v>0.47699999999999998</v>
      </c>
      <c r="P20" s="4">
        <v>0.38500000000000001</v>
      </c>
      <c r="Q20" s="4">
        <v>0.36699999999999999</v>
      </c>
      <c r="R20" s="4">
        <v>143</v>
      </c>
      <c r="S20" s="7">
        <v>0.7</v>
      </c>
      <c r="T20" s="7">
        <v>22.5</v>
      </c>
      <c r="U20" s="4">
        <v>-7.1</v>
      </c>
      <c r="V20" s="4">
        <v>2.9</v>
      </c>
    </row>
    <row r="21" spans="1:22" ht="17" thickBot="1" x14ac:dyDescent="0.25">
      <c r="A21" s="8" t="s">
        <v>58</v>
      </c>
      <c r="B21" s="8" t="s">
        <v>59</v>
      </c>
      <c r="C21" s="4">
        <v>78</v>
      </c>
      <c r="D21" s="4">
        <v>334</v>
      </c>
      <c r="E21" s="4">
        <v>21</v>
      </c>
      <c r="F21" s="4">
        <v>44</v>
      </c>
      <c r="G21" s="4">
        <v>51</v>
      </c>
      <c r="H21" s="4">
        <v>7</v>
      </c>
      <c r="I21" s="5">
        <v>0.16500000000000001</v>
      </c>
      <c r="J21" s="6">
        <v>0.129</v>
      </c>
      <c r="K21" s="4">
        <v>0.27200000000000002</v>
      </c>
      <c r="L21" s="4">
        <v>0.27600000000000002</v>
      </c>
      <c r="M21" s="7">
        <v>0.28999999999999998</v>
      </c>
      <c r="N21" s="4">
        <v>0.40500000000000003</v>
      </c>
      <c r="O21" s="4">
        <v>0.56200000000000006</v>
      </c>
      <c r="P21" s="4">
        <v>0.40799999999999997</v>
      </c>
      <c r="Q21" s="4">
        <v>0.432</v>
      </c>
      <c r="R21" s="4">
        <v>163</v>
      </c>
      <c r="S21" s="7">
        <v>-0.9</v>
      </c>
      <c r="T21" s="7">
        <v>24.7</v>
      </c>
      <c r="U21" s="4">
        <v>-6.6</v>
      </c>
      <c r="V21" s="4">
        <v>2.9</v>
      </c>
    </row>
    <row r="22" spans="1:22" ht="17" thickBot="1" x14ac:dyDescent="0.25">
      <c r="A22" s="8" t="s">
        <v>60</v>
      </c>
      <c r="B22" s="8" t="s">
        <v>61</v>
      </c>
      <c r="C22" s="4">
        <v>94</v>
      </c>
      <c r="D22" s="4">
        <v>359</v>
      </c>
      <c r="E22" s="4">
        <v>8</v>
      </c>
      <c r="F22" s="4">
        <v>40</v>
      </c>
      <c r="G22" s="4">
        <v>44</v>
      </c>
      <c r="H22" s="4">
        <v>15</v>
      </c>
      <c r="I22" s="5">
        <v>7.4999999999999997E-2</v>
      </c>
      <c r="J22" s="6">
        <v>0.13600000000000001</v>
      </c>
      <c r="K22" s="4">
        <v>0.13200000000000001</v>
      </c>
      <c r="L22" s="4">
        <v>0.30199999999999999</v>
      </c>
      <c r="M22" s="7">
        <v>0.27600000000000002</v>
      </c>
      <c r="N22" s="4">
        <v>0.34300000000000003</v>
      </c>
      <c r="O22" s="4">
        <v>0.40799999999999997</v>
      </c>
      <c r="P22" s="4">
        <v>0.33200000000000002</v>
      </c>
      <c r="Q22" s="4">
        <v>0.30599999999999999</v>
      </c>
      <c r="R22" s="4">
        <v>113</v>
      </c>
      <c r="S22" s="7">
        <v>0.9</v>
      </c>
      <c r="T22" s="7">
        <v>6.2</v>
      </c>
      <c r="U22" s="4">
        <v>9.8000000000000007</v>
      </c>
      <c r="V22" s="4">
        <v>2.9</v>
      </c>
    </row>
    <row r="23" spans="1:22" ht="17" thickBot="1" x14ac:dyDescent="0.25">
      <c r="A23" s="8" t="s">
        <v>62</v>
      </c>
      <c r="B23" s="8" t="s">
        <v>63</v>
      </c>
      <c r="C23" s="4">
        <v>75</v>
      </c>
      <c r="D23" s="4">
        <v>335</v>
      </c>
      <c r="E23" s="4">
        <v>25</v>
      </c>
      <c r="F23" s="4">
        <v>57</v>
      </c>
      <c r="G23" s="4">
        <v>45</v>
      </c>
      <c r="H23" s="4">
        <v>7</v>
      </c>
      <c r="I23" s="5">
        <v>6.9000000000000006E-2</v>
      </c>
      <c r="J23" s="6">
        <v>0.248</v>
      </c>
      <c r="K23" s="4">
        <v>0.30399999999999999</v>
      </c>
      <c r="L23" s="4">
        <v>0.28999999999999998</v>
      </c>
      <c r="M23" s="7">
        <v>0.27100000000000002</v>
      </c>
      <c r="N23" s="4">
        <v>0.32800000000000001</v>
      </c>
      <c r="O23" s="4">
        <v>0.57499999999999996</v>
      </c>
      <c r="P23" s="4">
        <v>0.38200000000000001</v>
      </c>
      <c r="Q23" s="4">
        <v>0.35099999999999998</v>
      </c>
      <c r="R23" s="4">
        <v>145</v>
      </c>
      <c r="S23" s="7">
        <v>0</v>
      </c>
      <c r="T23" s="7">
        <v>18</v>
      </c>
      <c r="U23" s="4">
        <v>-1</v>
      </c>
      <c r="V23" s="4">
        <v>2.9</v>
      </c>
    </row>
    <row r="24" spans="1:22" ht="17" thickBot="1" x14ac:dyDescent="0.25">
      <c r="A24" s="8" t="s">
        <v>64</v>
      </c>
      <c r="B24" s="8" t="s">
        <v>42</v>
      </c>
      <c r="C24" s="4">
        <v>89</v>
      </c>
      <c r="D24" s="4">
        <v>336</v>
      </c>
      <c r="E24" s="4">
        <v>17</v>
      </c>
      <c r="F24" s="4">
        <v>54</v>
      </c>
      <c r="G24" s="4">
        <v>40</v>
      </c>
      <c r="H24" s="4">
        <v>1</v>
      </c>
      <c r="I24" s="5">
        <v>0.11899999999999999</v>
      </c>
      <c r="J24" s="6">
        <v>0.23499999999999999</v>
      </c>
      <c r="K24" s="4">
        <v>0.22900000000000001</v>
      </c>
      <c r="L24" s="4">
        <v>0.29899999999999999</v>
      </c>
      <c r="M24" s="7">
        <v>0.25900000000000001</v>
      </c>
      <c r="N24" s="4">
        <v>0.35399999999999998</v>
      </c>
      <c r="O24" s="4">
        <v>0.48799999999999999</v>
      </c>
      <c r="P24" s="4">
        <v>0.36499999999999999</v>
      </c>
      <c r="Q24" s="4">
        <v>0.36099999999999999</v>
      </c>
      <c r="R24" s="4">
        <v>132</v>
      </c>
      <c r="S24" s="7">
        <v>0</v>
      </c>
      <c r="T24" s="7">
        <v>12.9</v>
      </c>
      <c r="U24" s="4">
        <v>4.9000000000000004</v>
      </c>
      <c r="V24" s="4">
        <v>2.9</v>
      </c>
    </row>
    <row r="25" spans="1:22" ht="17" thickBot="1" x14ac:dyDescent="0.25">
      <c r="A25" s="8" t="s">
        <v>65</v>
      </c>
      <c r="B25" s="8" t="s">
        <v>66</v>
      </c>
      <c r="C25" s="4">
        <v>90</v>
      </c>
      <c r="D25" s="4">
        <v>368</v>
      </c>
      <c r="E25" s="4">
        <v>8</v>
      </c>
      <c r="F25" s="4">
        <v>41</v>
      </c>
      <c r="G25" s="4">
        <v>39</v>
      </c>
      <c r="H25" s="4">
        <v>12</v>
      </c>
      <c r="I25" s="5">
        <v>4.9000000000000002E-2</v>
      </c>
      <c r="J25" s="6">
        <v>0.19800000000000001</v>
      </c>
      <c r="K25" s="4">
        <v>0.152</v>
      </c>
      <c r="L25" s="4">
        <v>0.33700000000000002</v>
      </c>
      <c r="M25" s="7">
        <v>0.28100000000000003</v>
      </c>
      <c r="N25" s="4">
        <v>0.32800000000000001</v>
      </c>
      <c r="O25" s="4">
        <v>0.433</v>
      </c>
      <c r="P25" s="4">
        <v>0.33300000000000002</v>
      </c>
      <c r="Q25" s="4">
        <v>0.28699999999999998</v>
      </c>
      <c r="R25" s="4">
        <v>108</v>
      </c>
      <c r="S25" s="7">
        <v>1.7</v>
      </c>
      <c r="T25" s="7">
        <v>5.2</v>
      </c>
      <c r="U25" s="4">
        <v>10</v>
      </c>
      <c r="V25" s="4">
        <v>2.9</v>
      </c>
    </row>
    <row r="26" spans="1:22" ht="17" thickBot="1" x14ac:dyDescent="0.25">
      <c r="A26" s="8" t="s">
        <v>67</v>
      </c>
      <c r="B26" s="8" t="s">
        <v>31</v>
      </c>
      <c r="C26" s="4">
        <v>97</v>
      </c>
      <c r="D26" s="4">
        <v>409</v>
      </c>
      <c r="E26" s="4">
        <v>6</v>
      </c>
      <c r="F26" s="4">
        <v>50</v>
      </c>
      <c r="G26" s="4">
        <v>37</v>
      </c>
      <c r="H26" s="4">
        <v>13</v>
      </c>
      <c r="I26" s="5">
        <v>0.122</v>
      </c>
      <c r="J26" s="6">
        <v>0.11700000000000001</v>
      </c>
      <c r="K26" s="4">
        <v>0.122</v>
      </c>
      <c r="L26" s="4">
        <v>0.33200000000000002</v>
      </c>
      <c r="M26" s="7">
        <v>0.30299999999999999</v>
      </c>
      <c r="N26" s="4">
        <v>0.38500000000000001</v>
      </c>
      <c r="O26" s="4">
        <v>0.42499999999999999</v>
      </c>
      <c r="P26" s="4">
        <v>0.35499999999999998</v>
      </c>
      <c r="Q26" s="4">
        <v>0.32800000000000001</v>
      </c>
      <c r="R26" s="4">
        <v>123</v>
      </c>
      <c r="S26" s="7">
        <v>1.3</v>
      </c>
      <c r="T26" s="7">
        <v>12.7</v>
      </c>
      <c r="U26" s="4">
        <v>2.2999999999999998</v>
      </c>
      <c r="V26" s="4">
        <v>2.9</v>
      </c>
    </row>
    <row r="27" spans="1:22" ht="17" thickBot="1" x14ac:dyDescent="0.25">
      <c r="A27" s="8" t="s">
        <v>68</v>
      </c>
      <c r="B27" s="8" t="s">
        <v>69</v>
      </c>
      <c r="C27" s="4">
        <v>89</v>
      </c>
      <c r="D27" s="4">
        <v>379</v>
      </c>
      <c r="E27" s="4">
        <v>11</v>
      </c>
      <c r="F27" s="4">
        <v>59</v>
      </c>
      <c r="G27" s="4">
        <v>45</v>
      </c>
      <c r="H27" s="4">
        <v>19</v>
      </c>
      <c r="I27" s="5">
        <v>9.8000000000000004E-2</v>
      </c>
      <c r="J27" s="6">
        <v>0.216</v>
      </c>
      <c r="K27" s="4">
        <v>0.17199999999999999</v>
      </c>
      <c r="L27" s="4">
        <v>0.34899999999999998</v>
      </c>
      <c r="M27" s="7">
        <v>0.28599999999999998</v>
      </c>
      <c r="N27" s="4">
        <v>0.38</v>
      </c>
      <c r="O27" s="4">
        <v>0.45800000000000002</v>
      </c>
      <c r="P27" s="4">
        <v>0.36899999999999999</v>
      </c>
      <c r="Q27" s="4">
        <v>0.35499999999999998</v>
      </c>
      <c r="R27" s="4">
        <v>144</v>
      </c>
      <c r="S27" s="7">
        <v>1.8</v>
      </c>
      <c r="T27" s="7">
        <v>21.4</v>
      </c>
      <c r="U27" s="4">
        <v>-7.3</v>
      </c>
      <c r="V27" s="4">
        <v>2.8</v>
      </c>
    </row>
    <row r="28" spans="1:22" ht="17" thickBot="1" x14ac:dyDescent="0.25">
      <c r="A28" s="8" t="s">
        <v>70</v>
      </c>
      <c r="B28" s="8" t="s">
        <v>71</v>
      </c>
      <c r="C28" s="4">
        <v>95</v>
      </c>
      <c r="D28" s="4">
        <v>416</v>
      </c>
      <c r="E28" s="4">
        <v>25</v>
      </c>
      <c r="F28" s="4">
        <v>64</v>
      </c>
      <c r="G28" s="4">
        <v>58</v>
      </c>
      <c r="H28" s="4">
        <v>2</v>
      </c>
      <c r="I28" s="5">
        <v>9.6000000000000002E-2</v>
      </c>
      <c r="J28" s="6">
        <v>0.23799999999999999</v>
      </c>
      <c r="K28" s="4">
        <v>0.26700000000000002</v>
      </c>
      <c r="L28" s="4">
        <v>0.29599999999999999</v>
      </c>
      <c r="M28" s="7">
        <v>0.26700000000000002</v>
      </c>
      <c r="N28" s="4">
        <v>0.33900000000000002</v>
      </c>
      <c r="O28" s="4">
        <v>0.53400000000000003</v>
      </c>
      <c r="P28" s="4">
        <v>0.371</v>
      </c>
      <c r="Q28" s="4">
        <v>0.35899999999999999</v>
      </c>
      <c r="R28" s="4">
        <v>135</v>
      </c>
      <c r="S28" s="7">
        <v>-0.3</v>
      </c>
      <c r="T28" s="7">
        <v>17.2</v>
      </c>
      <c r="U28" s="4">
        <v>-3.1</v>
      </c>
      <c r="V28" s="4">
        <v>2.8</v>
      </c>
    </row>
    <row r="29" spans="1:22" ht="17" thickBot="1" x14ac:dyDescent="0.25">
      <c r="A29" s="8" t="s">
        <v>72</v>
      </c>
      <c r="B29" s="8" t="s">
        <v>66</v>
      </c>
      <c r="C29" s="4">
        <v>88</v>
      </c>
      <c r="D29" s="4">
        <v>364</v>
      </c>
      <c r="E29" s="4">
        <v>20</v>
      </c>
      <c r="F29" s="4">
        <v>46</v>
      </c>
      <c r="G29" s="4">
        <v>61</v>
      </c>
      <c r="H29" s="4">
        <v>2</v>
      </c>
      <c r="I29" s="5">
        <v>9.6000000000000002E-2</v>
      </c>
      <c r="J29" s="6">
        <v>0.247</v>
      </c>
      <c r="K29" s="4">
        <v>0.25600000000000001</v>
      </c>
      <c r="L29" s="4">
        <v>0.33700000000000002</v>
      </c>
      <c r="M29" s="7">
        <v>0.28499999999999998</v>
      </c>
      <c r="N29" s="4">
        <v>0.379</v>
      </c>
      <c r="O29" s="4">
        <v>0.54200000000000004</v>
      </c>
      <c r="P29" s="4">
        <v>0.39500000000000002</v>
      </c>
      <c r="Q29" s="4">
        <v>0.39</v>
      </c>
      <c r="R29" s="4">
        <v>151</v>
      </c>
      <c r="S29" s="7">
        <v>-1.9</v>
      </c>
      <c r="T29" s="7">
        <v>20.100000000000001</v>
      </c>
      <c r="U29" s="4">
        <v>-5.6</v>
      </c>
      <c r="V29" s="4">
        <v>2.8</v>
      </c>
    </row>
    <row r="30" spans="1:22" ht="17" thickBot="1" x14ac:dyDescent="0.25">
      <c r="A30" s="8" t="s">
        <v>73</v>
      </c>
      <c r="B30" s="8" t="s">
        <v>42</v>
      </c>
      <c r="C30" s="4">
        <v>94</v>
      </c>
      <c r="D30" s="4">
        <v>408</v>
      </c>
      <c r="E30" s="4">
        <v>15</v>
      </c>
      <c r="F30" s="4">
        <v>52</v>
      </c>
      <c r="G30" s="4">
        <v>49</v>
      </c>
      <c r="H30" s="4">
        <v>3</v>
      </c>
      <c r="I30" s="5">
        <v>0.115</v>
      </c>
      <c r="J30" s="6">
        <v>0.159</v>
      </c>
      <c r="K30" s="4">
        <v>0.19700000000000001</v>
      </c>
      <c r="L30" s="4">
        <v>0.317</v>
      </c>
      <c r="M30" s="7">
        <v>0.28999999999999998</v>
      </c>
      <c r="N30" s="4">
        <v>0.375</v>
      </c>
      <c r="O30" s="4">
        <v>0.48699999999999999</v>
      </c>
      <c r="P30" s="4">
        <v>0.375</v>
      </c>
      <c r="Q30" s="4">
        <v>0.38400000000000001</v>
      </c>
      <c r="R30" s="4">
        <v>138</v>
      </c>
      <c r="S30" s="7">
        <v>-0.9</v>
      </c>
      <c r="T30" s="7">
        <v>17.899999999999999</v>
      </c>
      <c r="U30" s="4">
        <v>-4</v>
      </c>
      <c r="V30" s="4">
        <v>2.8</v>
      </c>
    </row>
    <row r="31" spans="1:22" ht="17" thickBot="1" x14ac:dyDescent="0.25">
      <c r="A31" s="8" t="s">
        <v>74</v>
      </c>
      <c r="B31" s="8" t="s">
        <v>38</v>
      </c>
      <c r="C31" s="4">
        <v>93</v>
      </c>
      <c r="D31" s="4">
        <v>395</v>
      </c>
      <c r="E31" s="4">
        <v>22</v>
      </c>
      <c r="F31" s="4">
        <v>62</v>
      </c>
      <c r="G31" s="4">
        <v>74</v>
      </c>
      <c r="H31" s="4">
        <v>13</v>
      </c>
      <c r="I31" s="5">
        <v>8.1000000000000003E-2</v>
      </c>
      <c r="J31" s="6">
        <v>0.248</v>
      </c>
      <c r="K31" s="4">
        <v>0.23799999999999999</v>
      </c>
      <c r="L31" s="4">
        <v>0.34599999999999997</v>
      </c>
      <c r="M31" s="7">
        <v>0.29399999999999998</v>
      </c>
      <c r="N31" s="4">
        <v>0.35399999999999998</v>
      </c>
      <c r="O31" s="4">
        <v>0.53200000000000003</v>
      </c>
      <c r="P31" s="4">
        <v>0.38</v>
      </c>
      <c r="Q31" s="4">
        <v>0.374</v>
      </c>
      <c r="R31" s="4">
        <v>143</v>
      </c>
      <c r="S31" s="7">
        <v>0.4</v>
      </c>
      <c r="T31" s="7">
        <v>21.1</v>
      </c>
      <c r="U31" s="4">
        <v>-6.7</v>
      </c>
      <c r="V31" s="4">
        <v>2.8</v>
      </c>
    </row>
    <row r="32" spans="1:22" ht="17" thickBot="1" x14ac:dyDescent="0.25">
      <c r="A32" s="8" t="s">
        <v>75</v>
      </c>
      <c r="B32" s="8" t="s">
        <v>76</v>
      </c>
      <c r="C32" s="4">
        <v>87</v>
      </c>
      <c r="D32" s="4">
        <v>376</v>
      </c>
      <c r="E32" s="4">
        <v>9</v>
      </c>
      <c r="F32" s="4">
        <v>45</v>
      </c>
      <c r="G32" s="4">
        <v>34</v>
      </c>
      <c r="H32" s="4">
        <v>1</v>
      </c>
      <c r="I32" s="5">
        <v>8.5000000000000006E-2</v>
      </c>
      <c r="J32" s="6">
        <v>0.184</v>
      </c>
      <c r="K32" s="4">
        <v>0.155</v>
      </c>
      <c r="L32" s="4">
        <v>0.35</v>
      </c>
      <c r="M32" s="7">
        <v>0.29799999999999999</v>
      </c>
      <c r="N32" s="4">
        <v>0.36699999999999999</v>
      </c>
      <c r="O32" s="4">
        <v>0.45200000000000001</v>
      </c>
      <c r="P32" s="4">
        <v>0.36</v>
      </c>
      <c r="Q32" s="4">
        <v>0.34599999999999997</v>
      </c>
      <c r="R32" s="4">
        <v>132</v>
      </c>
      <c r="S32" s="7">
        <v>-2.2999999999999998</v>
      </c>
      <c r="T32" s="7">
        <v>12</v>
      </c>
      <c r="U32" s="4">
        <v>1.1000000000000001</v>
      </c>
      <c r="V32" s="4">
        <v>2.7</v>
      </c>
    </row>
    <row r="33" spans="1:22" ht="17" thickBot="1" x14ac:dyDescent="0.25">
      <c r="A33" s="8" t="s">
        <v>77</v>
      </c>
      <c r="B33" s="8" t="s">
        <v>33</v>
      </c>
      <c r="C33" s="4">
        <v>95</v>
      </c>
      <c r="D33" s="4">
        <v>400</v>
      </c>
      <c r="E33" s="4">
        <v>13</v>
      </c>
      <c r="F33" s="4">
        <v>48</v>
      </c>
      <c r="G33" s="4">
        <v>45</v>
      </c>
      <c r="H33" s="4">
        <v>2</v>
      </c>
      <c r="I33" s="5">
        <v>0.128</v>
      </c>
      <c r="J33" s="6">
        <v>0.27</v>
      </c>
      <c r="K33" s="4">
        <v>0.17399999999999999</v>
      </c>
      <c r="L33" s="4">
        <v>0.38100000000000001</v>
      </c>
      <c r="M33" s="7">
        <v>0.28799999999999998</v>
      </c>
      <c r="N33" s="4">
        <v>0.38</v>
      </c>
      <c r="O33" s="4">
        <v>0.46200000000000002</v>
      </c>
      <c r="P33" s="4">
        <v>0.36799999999999999</v>
      </c>
      <c r="Q33" s="4">
        <v>0.36499999999999999</v>
      </c>
      <c r="R33" s="4">
        <v>136</v>
      </c>
      <c r="S33" s="7">
        <v>-0.7</v>
      </c>
      <c r="T33" s="7">
        <v>16.399999999999999</v>
      </c>
      <c r="U33" s="4">
        <v>-4.5999999999999996</v>
      </c>
      <c r="V33" s="4">
        <v>2.6</v>
      </c>
    </row>
    <row r="34" spans="1:22" ht="17" thickBot="1" x14ac:dyDescent="0.25">
      <c r="A34" s="8" t="s">
        <v>78</v>
      </c>
      <c r="B34" s="8" t="s">
        <v>57</v>
      </c>
      <c r="C34" s="4">
        <v>90</v>
      </c>
      <c r="D34" s="4">
        <v>402</v>
      </c>
      <c r="E34" s="4">
        <v>21</v>
      </c>
      <c r="F34" s="4">
        <v>59</v>
      </c>
      <c r="G34" s="4">
        <v>64</v>
      </c>
      <c r="H34" s="4">
        <v>1</v>
      </c>
      <c r="I34" s="5">
        <v>9.1999999999999998E-2</v>
      </c>
      <c r="J34" s="6">
        <v>0.26600000000000001</v>
      </c>
      <c r="K34" s="4">
        <v>0.24099999999999999</v>
      </c>
      <c r="L34" s="4">
        <v>0.28499999999999998</v>
      </c>
      <c r="M34" s="7">
        <v>0.246</v>
      </c>
      <c r="N34" s="4">
        <v>0.316</v>
      </c>
      <c r="O34" s="4">
        <v>0.48699999999999999</v>
      </c>
      <c r="P34" s="4">
        <v>0.34399999999999997</v>
      </c>
      <c r="Q34" s="4">
        <v>0.34300000000000003</v>
      </c>
      <c r="R34" s="4">
        <v>115</v>
      </c>
      <c r="S34" s="7">
        <v>0.1</v>
      </c>
      <c r="T34" s="7">
        <v>7.5</v>
      </c>
      <c r="U34" s="4">
        <v>5.2</v>
      </c>
      <c r="V34" s="4">
        <v>2.6</v>
      </c>
    </row>
    <row r="35" spans="1:22" ht="17" thickBot="1" x14ac:dyDescent="0.25">
      <c r="A35" s="8" t="s">
        <v>79</v>
      </c>
      <c r="B35" s="8" t="s">
        <v>80</v>
      </c>
      <c r="C35" s="4">
        <v>93</v>
      </c>
      <c r="D35" s="4">
        <v>414</v>
      </c>
      <c r="E35" s="4">
        <v>32</v>
      </c>
      <c r="F35" s="4">
        <v>57</v>
      </c>
      <c r="G35" s="4">
        <v>59</v>
      </c>
      <c r="H35" s="4">
        <v>2</v>
      </c>
      <c r="I35" s="5">
        <v>0.14299999999999999</v>
      </c>
      <c r="J35" s="6">
        <v>0.34799999999999998</v>
      </c>
      <c r="K35" s="4">
        <v>0.30599999999999999</v>
      </c>
      <c r="L35" s="4">
        <v>0.32600000000000001</v>
      </c>
      <c r="M35" s="7">
        <v>0.254</v>
      </c>
      <c r="N35" s="4">
        <v>0.36699999999999999</v>
      </c>
      <c r="O35" s="4">
        <v>0.56000000000000005</v>
      </c>
      <c r="P35" s="4">
        <v>0.39500000000000002</v>
      </c>
      <c r="Q35" s="4">
        <v>0.378</v>
      </c>
      <c r="R35" s="4">
        <v>149</v>
      </c>
      <c r="S35" s="7">
        <v>-1.5</v>
      </c>
      <c r="T35" s="7">
        <v>23.2</v>
      </c>
      <c r="U35" s="4">
        <v>-10.9</v>
      </c>
      <c r="V35" s="4">
        <v>2.6</v>
      </c>
    </row>
    <row r="36" spans="1:22" ht="17" thickBot="1" x14ac:dyDescent="0.25">
      <c r="A36" s="8" t="s">
        <v>81</v>
      </c>
      <c r="B36" s="8" t="s">
        <v>48</v>
      </c>
      <c r="C36" s="4">
        <v>94</v>
      </c>
      <c r="D36" s="4">
        <v>403</v>
      </c>
      <c r="E36" s="4">
        <v>11</v>
      </c>
      <c r="F36" s="4">
        <v>49</v>
      </c>
      <c r="G36" s="4">
        <v>51</v>
      </c>
      <c r="H36" s="4">
        <v>10</v>
      </c>
      <c r="I36" s="5">
        <v>0.127</v>
      </c>
      <c r="J36" s="6">
        <v>0.14899999999999999</v>
      </c>
      <c r="K36" s="4">
        <v>0.16700000000000001</v>
      </c>
      <c r="L36" s="4">
        <v>0.27400000000000002</v>
      </c>
      <c r="M36" s="7">
        <v>0.254</v>
      </c>
      <c r="N36" s="4">
        <v>0.34499999999999997</v>
      </c>
      <c r="O36" s="4">
        <v>0.42099999999999999</v>
      </c>
      <c r="P36" s="4">
        <v>0.33700000000000002</v>
      </c>
      <c r="Q36" s="4">
        <v>0.34899999999999998</v>
      </c>
      <c r="R36" s="4">
        <v>116</v>
      </c>
      <c r="S36" s="7">
        <v>0.2</v>
      </c>
      <c r="T36" s="7">
        <v>7.9</v>
      </c>
      <c r="U36" s="4">
        <v>3.3</v>
      </c>
      <c r="V36" s="4">
        <v>2.6</v>
      </c>
    </row>
    <row r="37" spans="1:22" ht="17" thickBot="1" x14ac:dyDescent="0.25">
      <c r="A37" s="8" t="s">
        <v>82</v>
      </c>
      <c r="B37" s="8" t="s">
        <v>44</v>
      </c>
      <c r="C37" s="4">
        <v>90</v>
      </c>
      <c r="D37" s="4">
        <v>394</v>
      </c>
      <c r="E37" s="4">
        <v>13</v>
      </c>
      <c r="F37" s="4">
        <v>51</v>
      </c>
      <c r="G37" s="4">
        <v>55</v>
      </c>
      <c r="H37" s="4">
        <v>1</v>
      </c>
      <c r="I37" s="5">
        <v>9.4E-2</v>
      </c>
      <c r="J37" s="6">
        <v>0.13700000000000001</v>
      </c>
      <c r="K37" s="4">
        <v>0.16800000000000001</v>
      </c>
      <c r="L37" s="4">
        <v>0.34899999999999998</v>
      </c>
      <c r="M37" s="7">
        <v>0.32200000000000001</v>
      </c>
      <c r="N37" s="4">
        <v>0.39800000000000002</v>
      </c>
      <c r="O37" s="4">
        <v>0.49</v>
      </c>
      <c r="P37" s="4">
        <v>0.38600000000000001</v>
      </c>
      <c r="Q37" s="4">
        <v>0.36499999999999999</v>
      </c>
      <c r="R37" s="4">
        <v>148</v>
      </c>
      <c r="S37" s="7">
        <v>-1</v>
      </c>
      <c r="T37" s="7">
        <v>21.2</v>
      </c>
      <c r="U37" s="4">
        <v>-9.6999999999999993</v>
      </c>
      <c r="V37" s="4">
        <v>2.6</v>
      </c>
    </row>
    <row r="38" spans="1:22" ht="17" thickBot="1" x14ac:dyDescent="0.25">
      <c r="A38" s="8" t="s">
        <v>83</v>
      </c>
      <c r="B38" s="8" t="s">
        <v>27</v>
      </c>
      <c r="C38" s="4">
        <v>93</v>
      </c>
      <c r="D38" s="4">
        <v>395</v>
      </c>
      <c r="E38" s="4">
        <v>20</v>
      </c>
      <c r="F38" s="4">
        <v>56</v>
      </c>
      <c r="G38" s="4">
        <v>67</v>
      </c>
      <c r="H38" s="4">
        <v>15</v>
      </c>
      <c r="I38" s="5">
        <v>8.5999999999999993E-2</v>
      </c>
      <c r="J38" s="6">
        <v>0.215</v>
      </c>
      <c r="K38" s="4">
        <v>0.23499999999999999</v>
      </c>
      <c r="L38" s="4">
        <v>0.30499999999999999</v>
      </c>
      <c r="M38" s="7">
        <v>0.27500000000000002</v>
      </c>
      <c r="N38" s="4">
        <v>0.35199999999999998</v>
      </c>
      <c r="O38" s="4">
        <v>0.51</v>
      </c>
      <c r="P38" s="4">
        <v>0.36899999999999999</v>
      </c>
      <c r="Q38" s="4">
        <v>0.34100000000000003</v>
      </c>
      <c r="R38" s="4">
        <v>134</v>
      </c>
      <c r="S38" s="7">
        <v>1.2</v>
      </c>
      <c r="T38" s="7">
        <v>17.3</v>
      </c>
      <c r="U38" s="4">
        <v>-5.3</v>
      </c>
      <c r="V38" s="4">
        <v>2.5</v>
      </c>
    </row>
    <row r="39" spans="1:22" ht="17" thickBot="1" x14ac:dyDescent="0.25">
      <c r="A39" s="8" t="s">
        <v>84</v>
      </c>
      <c r="B39" s="8" t="s">
        <v>71</v>
      </c>
      <c r="C39" s="4">
        <v>89</v>
      </c>
      <c r="D39" s="4">
        <v>353</v>
      </c>
      <c r="E39" s="4">
        <v>16</v>
      </c>
      <c r="F39" s="4">
        <v>45</v>
      </c>
      <c r="G39" s="4">
        <v>53</v>
      </c>
      <c r="H39" s="4">
        <v>6</v>
      </c>
      <c r="I39" s="5">
        <v>4.2000000000000003E-2</v>
      </c>
      <c r="J39" s="6">
        <v>0.20699999999999999</v>
      </c>
      <c r="K39" s="4">
        <v>0.192</v>
      </c>
      <c r="L39" s="4">
        <v>0.33600000000000002</v>
      </c>
      <c r="M39" s="7">
        <v>0.29599999999999999</v>
      </c>
      <c r="N39" s="4">
        <v>0.32900000000000001</v>
      </c>
      <c r="O39" s="4">
        <v>0.48799999999999999</v>
      </c>
      <c r="P39" s="4">
        <v>0.35199999999999998</v>
      </c>
      <c r="Q39" s="4">
        <v>0.36499999999999999</v>
      </c>
      <c r="R39" s="4">
        <v>122</v>
      </c>
      <c r="S39" s="7">
        <v>-1.4</v>
      </c>
      <c r="T39" s="7">
        <v>8.1</v>
      </c>
      <c r="U39" s="4">
        <v>5.2</v>
      </c>
      <c r="V39" s="4">
        <v>2.5</v>
      </c>
    </row>
    <row r="40" spans="1:22" ht="17" thickBot="1" x14ac:dyDescent="0.25">
      <c r="A40" s="8" t="s">
        <v>85</v>
      </c>
      <c r="B40" s="8" t="s">
        <v>86</v>
      </c>
      <c r="C40" s="4">
        <v>78</v>
      </c>
      <c r="D40" s="4">
        <v>354</v>
      </c>
      <c r="E40" s="4">
        <v>18</v>
      </c>
      <c r="F40" s="4">
        <v>58</v>
      </c>
      <c r="G40" s="4">
        <v>39</v>
      </c>
      <c r="H40" s="4">
        <v>7</v>
      </c>
      <c r="I40" s="5">
        <v>0.189</v>
      </c>
      <c r="J40" s="6">
        <v>0.246</v>
      </c>
      <c r="K40" s="4">
        <v>0.23699999999999999</v>
      </c>
      <c r="L40" s="4">
        <v>0.27500000000000002</v>
      </c>
      <c r="M40" s="7">
        <v>0.23699999999999999</v>
      </c>
      <c r="N40" s="4">
        <v>0.39</v>
      </c>
      <c r="O40" s="4">
        <v>0.47299999999999998</v>
      </c>
      <c r="P40" s="4">
        <v>0.374</v>
      </c>
      <c r="Q40" s="4">
        <v>0.41</v>
      </c>
      <c r="R40" s="4">
        <v>139</v>
      </c>
      <c r="S40" s="7">
        <v>0.2</v>
      </c>
      <c r="T40" s="7">
        <v>16.600000000000001</v>
      </c>
      <c r="U40" s="4">
        <v>-4.8</v>
      </c>
      <c r="V40" s="4">
        <v>2.5</v>
      </c>
    </row>
    <row r="41" spans="1:22" ht="17" thickBot="1" x14ac:dyDescent="0.25">
      <c r="A41" s="8" t="s">
        <v>87</v>
      </c>
      <c r="B41" s="8" t="s">
        <v>44</v>
      </c>
      <c r="C41" s="4">
        <v>93</v>
      </c>
      <c r="D41" s="4">
        <v>406</v>
      </c>
      <c r="E41" s="4">
        <v>14</v>
      </c>
      <c r="F41" s="4">
        <v>48</v>
      </c>
      <c r="G41" s="4">
        <v>64</v>
      </c>
      <c r="H41" s="4">
        <v>0</v>
      </c>
      <c r="I41" s="5">
        <v>0.126</v>
      </c>
      <c r="J41" s="6">
        <v>0.217</v>
      </c>
      <c r="K41" s="4">
        <v>0.17399999999999999</v>
      </c>
      <c r="L41" s="4">
        <v>0.35499999999999998</v>
      </c>
      <c r="M41" s="7">
        <v>0.29699999999999999</v>
      </c>
      <c r="N41" s="4">
        <v>0.39400000000000002</v>
      </c>
      <c r="O41" s="4">
        <v>0.47099999999999997</v>
      </c>
      <c r="P41" s="4">
        <v>0.376</v>
      </c>
      <c r="Q41" s="4">
        <v>0.372</v>
      </c>
      <c r="R41" s="4">
        <v>141</v>
      </c>
      <c r="S41" s="7">
        <v>-2.7</v>
      </c>
      <c r="T41" s="7">
        <v>17.100000000000001</v>
      </c>
      <c r="U41" s="4">
        <v>-7.3</v>
      </c>
      <c r="V41" s="4">
        <v>2.5</v>
      </c>
    </row>
    <row r="42" spans="1:22" ht="17" thickBot="1" x14ac:dyDescent="0.25">
      <c r="A42" s="8" t="s">
        <v>88</v>
      </c>
      <c r="B42" s="8" t="s">
        <v>76</v>
      </c>
      <c r="C42" s="4">
        <v>87</v>
      </c>
      <c r="D42" s="4">
        <v>325</v>
      </c>
      <c r="E42" s="4">
        <v>10</v>
      </c>
      <c r="F42" s="4">
        <v>40</v>
      </c>
      <c r="G42" s="4">
        <v>50</v>
      </c>
      <c r="H42" s="4">
        <v>7</v>
      </c>
      <c r="I42" s="5">
        <v>7.3999999999999996E-2</v>
      </c>
      <c r="J42" s="6">
        <v>0.22800000000000001</v>
      </c>
      <c r="K42" s="4">
        <v>0.16600000000000001</v>
      </c>
      <c r="L42" s="4">
        <v>0.32600000000000001</v>
      </c>
      <c r="M42" s="7">
        <v>0.27</v>
      </c>
      <c r="N42" s="4">
        <v>0.32400000000000001</v>
      </c>
      <c r="O42" s="4">
        <v>0.436</v>
      </c>
      <c r="P42" s="4">
        <v>0.33100000000000002</v>
      </c>
      <c r="Q42" s="4">
        <v>0.30599999999999999</v>
      </c>
      <c r="R42" s="4">
        <v>112</v>
      </c>
      <c r="S42" s="7">
        <v>0.6</v>
      </c>
      <c r="T42" s="7">
        <v>5.4</v>
      </c>
      <c r="U42" s="4">
        <v>6.7</v>
      </c>
      <c r="V42" s="4">
        <v>2.4</v>
      </c>
    </row>
    <row r="43" spans="1:22" ht="17" thickBot="1" x14ac:dyDescent="0.25">
      <c r="A43" s="8" t="s">
        <v>89</v>
      </c>
      <c r="B43" s="8" t="s">
        <v>46</v>
      </c>
      <c r="C43" s="4">
        <v>91</v>
      </c>
      <c r="D43" s="4">
        <v>381</v>
      </c>
      <c r="E43" s="4">
        <v>23</v>
      </c>
      <c r="F43" s="4">
        <v>45</v>
      </c>
      <c r="G43" s="4">
        <v>53</v>
      </c>
      <c r="H43" s="4">
        <v>1</v>
      </c>
      <c r="I43" s="5">
        <v>8.1000000000000003E-2</v>
      </c>
      <c r="J43" s="6">
        <v>0.318</v>
      </c>
      <c r="K43" s="4">
        <v>0.249</v>
      </c>
      <c r="L43" s="4">
        <v>0.26400000000000001</v>
      </c>
      <c r="M43" s="7">
        <v>0.22</v>
      </c>
      <c r="N43" s="4">
        <v>0.30199999999999999</v>
      </c>
      <c r="O43" s="4">
        <v>0.46899999999999997</v>
      </c>
      <c r="P43" s="4">
        <v>0.33100000000000002</v>
      </c>
      <c r="Q43" s="4">
        <v>0.32400000000000001</v>
      </c>
      <c r="R43" s="4">
        <v>111</v>
      </c>
      <c r="S43" s="7">
        <v>-1.6</v>
      </c>
      <c r="T43" s="7">
        <v>3.4</v>
      </c>
      <c r="U43" s="4">
        <v>6.6</v>
      </c>
      <c r="V43" s="4">
        <v>2.4</v>
      </c>
    </row>
    <row r="44" spans="1:22" ht="17" thickBot="1" x14ac:dyDescent="0.25">
      <c r="A44" s="8" t="s">
        <v>90</v>
      </c>
      <c r="B44" s="8" t="s">
        <v>23</v>
      </c>
      <c r="C44" s="4">
        <v>92</v>
      </c>
      <c r="D44" s="4">
        <v>356</v>
      </c>
      <c r="E44" s="4">
        <v>16</v>
      </c>
      <c r="F44" s="4">
        <v>59</v>
      </c>
      <c r="G44" s="4">
        <v>58</v>
      </c>
      <c r="H44" s="4">
        <v>12</v>
      </c>
      <c r="I44" s="5">
        <v>0.104</v>
      </c>
      <c r="J44" s="6">
        <v>0.23599999999999999</v>
      </c>
      <c r="K44" s="4">
        <v>0.20100000000000001</v>
      </c>
      <c r="L44" s="4">
        <v>0.23</v>
      </c>
      <c r="M44" s="7">
        <v>0.21099999999999999</v>
      </c>
      <c r="N44" s="4">
        <v>0.29299999999999998</v>
      </c>
      <c r="O44" s="4">
        <v>0.41199999999999998</v>
      </c>
      <c r="P44" s="4">
        <v>0.308</v>
      </c>
      <c r="Q44" s="4">
        <v>0.29899999999999999</v>
      </c>
      <c r="R44" s="4">
        <v>95</v>
      </c>
      <c r="S44" s="7">
        <v>3.4</v>
      </c>
      <c r="T44" s="7">
        <v>1.1000000000000001</v>
      </c>
      <c r="U44" s="4">
        <v>10.8</v>
      </c>
      <c r="V44" s="4">
        <v>2.4</v>
      </c>
    </row>
    <row r="45" spans="1:22" ht="17" thickBot="1" x14ac:dyDescent="0.25">
      <c r="A45" s="8" t="s">
        <v>91</v>
      </c>
      <c r="B45" s="8" t="s">
        <v>92</v>
      </c>
      <c r="C45" s="4">
        <v>97</v>
      </c>
      <c r="D45" s="4">
        <v>419</v>
      </c>
      <c r="E45" s="4">
        <v>21</v>
      </c>
      <c r="F45" s="4">
        <v>59</v>
      </c>
      <c r="G45" s="4">
        <v>65</v>
      </c>
      <c r="H45" s="4">
        <v>2</v>
      </c>
      <c r="I45" s="5">
        <v>0.11899999999999999</v>
      </c>
      <c r="J45" s="6">
        <v>0.248</v>
      </c>
      <c r="K45" s="4">
        <v>0.222</v>
      </c>
      <c r="L45" s="4">
        <v>0.29199999999999998</v>
      </c>
      <c r="M45" s="7">
        <v>0.252</v>
      </c>
      <c r="N45" s="4">
        <v>0.34599999999999997</v>
      </c>
      <c r="O45" s="4">
        <v>0.47399999999999998</v>
      </c>
      <c r="P45" s="4">
        <v>0.35499999999999998</v>
      </c>
      <c r="Q45" s="4">
        <v>0.379</v>
      </c>
      <c r="R45" s="4">
        <v>129</v>
      </c>
      <c r="S45" s="7">
        <v>-1.7</v>
      </c>
      <c r="T45" s="7">
        <v>12.5</v>
      </c>
      <c r="U45" s="4">
        <v>-4.4000000000000004</v>
      </c>
      <c r="V45" s="4">
        <v>2.2999999999999998</v>
      </c>
    </row>
    <row r="46" spans="1:22" ht="17" thickBot="1" x14ac:dyDescent="0.25">
      <c r="A46" s="8" t="s">
        <v>93</v>
      </c>
      <c r="B46" s="8" t="s">
        <v>61</v>
      </c>
      <c r="C46" s="4">
        <v>72</v>
      </c>
      <c r="D46" s="4">
        <v>314</v>
      </c>
      <c r="E46" s="4">
        <v>10</v>
      </c>
      <c r="F46" s="4">
        <v>42</v>
      </c>
      <c r="G46" s="4">
        <v>33</v>
      </c>
      <c r="H46" s="4">
        <v>24</v>
      </c>
      <c r="I46" s="5">
        <v>0.13100000000000001</v>
      </c>
      <c r="J46" s="6">
        <v>0.14000000000000001</v>
      </c>
      <c r="K46" s="4">
        <v>0.17899999999999999</v>
      </c>
      <c r="L46" s="4">
        <v>0.249</v>
      </c>
      <c r="M46" s="7">
        <v>0.23899999999999999</v>
      </c>
      <c r="N46" s="4">
        <v>0.33900000000000002</v>
      </c>
      <c r="O46" s="4">
        <v>0.41799999999999998</v>
      </c>
      <c r="P46" s="4">
        <v>0.32800000000000001</v>
      </c>
      <c r="Q46" s="4">
        <v>0.35499999999999998</v>
      </c>
      <c r="R46" s="4">
        <v>110</v>
      </c>
      <c r="S46" s="7">
        <v>4.4000000000000004</v>
      </c>
      <c r="T46" s="7">
        <v>8.1</v>
      </c>
      <c r="U46" s="4">
        <v>3.6</v>
      </c>
      <c r="V46" s="4">
        <v>2.2999999999999998</v>
      </c>
    </row>
    <row r="47" spans="1:22" ht="17" thickBot="1" x14ac:dyDescent="0.25">
      <c r="A47" s="8" t="s">
        <v>94</v>
      </c>
      <c r="B47" s="8" t="s">
        <v>95</v>
      </c>
      <c r="C47" s="4">
        <v>93</v>
      </c>
      <c r="D47" s="4">
        <v>382</v>
      </c>
      <c r="E47" s="4">
        <v>22</v>
      </c>
      <c r="F47" s="4">
        <v>50</v>
      </c>
      <c r="G47" s="4">
        <v>62</v>
      </c>
      <c r="H47" s="4">
        <v>0</v>
      </c>
      <c r="I47" s="5">
        <v>9.4E-2</v>
      </c>
      <c r="J47" s="6">
        <v>0.309</v>
      </c>
      <c r="K47" s="4">
        <v>0.23</v>
      </c>
      <c r="L47" s="4">
        <v>0.29399999999999998</v>
      </c>
      <c r="M47" s="7">
        <v>0.23899999999999999</v>
      </c>
      <c r="N47" s="4">
        <v>0.31900000000000001</v>
      </c>
      <c r="O47" s="4">
        <v>0.46899999999999997</v>
      </c>
      <c r="P47" s="4">
        <v>0.34200000000000003</v>
      </c>
      <c r="Q47" s="4">
        <v>0.32600000000000001</v>
      </c>
      <c r="R47" s="4">
        <v>119</v>
      </c>
      <c r="S47" s="7">
        <v>-2</v>
      </c>
      <c r="T47" s="7">
        <v>6.7</v>
      </c>
      <c r="U47" s="4">
        <v>2.6</v>
      </c>
      <c r="V47" s="4">
        <v>2.2999999999999998</v>
      </c>
    </row>
    <row r="48" spans="1:22" ht="17" thickBot="1" x14ac:dyDescent="0.25">
      <c r="A48" s="8" t="s">
        <v>96</v>
      </c>
      <c r="B48" s="8" t="s">
        <v>55</v>
      </c>
      <c r="C48" s="4">
        <v>86</v>
      </c>
      <c r="D48" s="4">
        <v>386</v>
      </c>
      <c r="E48" s="4">
        <v>21</v>
      </c>
      <c r="F48" s="4">
        <v>52</v>
      </c>
      <c r="G48" s="4">
        <v>46</v>
      </c>
      <c r="H48" s="4">
        <v>2</v>
      </c>
      <c r="I48" s="5">
        <v>7.8E-2</v>
      </c>
      <c r="J48" s="6">
        <v>0.22</v>
      </c>
      <c r="K48" s="4">
        <v>0.22600000000000001</v>
      </c>
      <c r="L48" s="4">
        <v>0.28199999999999997</v>
      </c>
      <c r="M48" s="7">
        <v>0.25700000000000001</v>
      </c>
      <c r="N48" s="4">
        <v>0.32400000000000001</v>
      </c>
      <c r="O48" s="4">
        <v>0.48299999999999998</v>
      </c>
      <c r="P48" s="4">
        <v>0.34699999999999998</v>
      </c>
      <c r="Q48" s="4">
        <v>0.35699999999999998</v>
      </c>
      <c r="R48" s="4">
        <v>120</v>
      </c>
      <c r="S48" s="7">
        <v>-0.2</v>
      </c>
      <c r="T48" s="7">
        <v>8.6999999999999993</v>
      </c>
      <c r="U48" s="4">
        <v>-0.5</v>
      </c>
      <c r="V48" s="4">
        <v>2.2000000000000002</v>
      </c>
    </row>
    <row r="49" spans="1:22" ht="17" thickBot="1" x14ac:dyDescent="0.25">
      <c r="A49" s="8" t="s">
        <v>97</v>
      </c>
      <c r="B49" s="8" t="s">
        <v>48</v>
      </c>
      <c r="C49" s="4">
        <v>91</v>
      </c>
      <c r="D49" s="4">
        <v>360</v>
      </c>
      <c r="E49" s="4">
        <v>13</v>
      </c>
      <c r="F49" s="4">
        <v>47</v>
      </c>
      <c r="G49" s="4">
        <v>37</v>
      </c>
      <c r="H49" s="4">
        <v>26</v>
      </c>
      <c r="I49" s="5">
        <v>0.10299999999999999</v>
      </c>
      <c r="J49" s="6">
        <v>0.29199999999999998</v>
      </c>
      <c r="K49" s="4">
        <v>0.17199999999999999</v>
      </c>
      <c r="L49" s="4">
        <v>0.28399999999999997</v>
      </c>
      <c r="M49" s="7">
        <v>0.223</v>
      </c>
      <c r="N49" s="4">
        <v>0.30299999999999999</v>
      </c>
      <c r="O49" s="4">
        <v>0.39500000000000002</v>
      </c>
      <c r="P49" s="4">
        <v>0.30599999999999999</v>
      </c>
      <c r="Q49" s="4">
        <v>0.28999999999999998</v>
      </c>
      <c r="R49" s="4">
        <v>95</v>
      </c>
      <c r="S49" s="7">
        <v>4.2</v>
      </c>
      <c r="T49" s="7">
        <v>2.1</v>
      </c>
      <c r="U49" s="4">
        <v>6.8</v>
      </c>
      <c r="V49" s="4">
        <v>2.2000000000000002</v>
      </c>
    </row>
    <row r="50" spans="1:22" ht="17" thickBot="1" x14ac:dyDescent="0.25">
      <c r="A50" s="8" t="s">
        <v>98</v>
      </c>
      <c r="B50" s="8" t="s">
        <v>29</v>
      </c>
      <c r="C50" s="4">
        <v>91</v>
      </c>
      <c r="D50" s="4">
        <v>384</v>
      </c>
      <c r="E50" s="4">
        <v>12</v>
      </c>
      <c r="F50" s="4">
        <v>39</v>
      </c>
      <c r="G50" s="4">
        <v>49</v>
      </c>
      <c r="H50" s="4">
        <v>0</v>
      </c>
      <c r="I50" s="5">
        <v>9.6000000000000002E-2</v>
      </c>
      <c r="J50" s="6">
        <v>0.159</v>
      </c>
      <c r="K50" s="4">
        <v>0.16300000000000001</v>
      </c>
      <c r="L50" s="4">
        <v>0.27600000000000002</v>
      </c>
      <c r="M50" s="7">
        <v>0.254</v>
      </c>
      <c r="N50" s="4">
        <v>0.34899999999999998</v>
      </c>
      <c r="O50" s="4">
        <v>0.41699999999999998</v>
      </c>
      <c r="P50" s="4">
        <v>0.34</v>
      </c>
      <c r="Q50" s="4">
        <v>0.316</v>
      </c>
      <c r="R50" s="4">
        <v>118</v>
      </c>
      <c r="S50" s="7">
        <v>-1.2</v>
      </c>
      <c r="T50" s="7">
        <v>6.9</v>
      </c>
      <c r="U50" s="4">
        <v>1</v>
      </c>
      <c r="V50" s="4">
        <v>2.2000000000000002</v>
      </c>
    </row>
    <row r="51" spans="1:22" ht="17" thickBot="1" x14ac:dyDescent="0.25">
      <c r="A51" s="8" t="s">
        <v>99</v>
      </c>
      <c r="B51" s="8" t="s">
        <v>71</v>
      </c>
      <c r="C51" s="4">
        <v>91</v>
      </c>
      <c r="D51" s="4">
        <v>372</v>
      </c>
      <c r="E51" s="4">
        <v>10</v>
      </c>
      <c r="F51" s="4">
        <v>42</v>
      </c>
      <c r="G51" s="4">
        <v>51</v>
      </c>
      <c r="H51" s="4">
        <v>3</v>
      </c>
      <c r="I51" s="5">
        <v>6.7000000000000004E-2</v>
      </c>
      <c r="J51" s="6">
        <v>0.14199999999999999</v>
      </c>
      <c r="K51" s="4">
        <v>0.155</v>
      </c>
      <c r="L51" s="4">
        <v>0.28899999999999998</v>
      </c>
      <c r="M51" s="7">
        <v>0.26500000000000001</v>
      </c>
      <c r="N51" s="4">
        <v>0.31900000000000001</v>
      </c>
      <c r="O51" s="4">
        <v>0.42</v>
      </c>
      <c r="P51" s="4">
        <v>0.32400000000000001</v>
      </c>
      <c r="Q51" s="4">
        <v>0.31900000000000001</v>
      </c>
      <c r="R51" s="4">
        <v>103</v>
      </c>
      <c r="S51" s="7">
        <v>0</v>
      </c>
      <c r="T51" s="7">
        <v>1.5</v>
      </c>
      <c r="U51" s="4">
        <v>7.6</v>
      </c>
      <c r="V51" s="4">
        <v>2.1</v>
      </c>
    </row>
    <row r="52" spans="1:22" ht="17" thickBot="1" x14ac:dyDescent="0.25">
      <c r="A52" s="8" t="s">
        <v>100</v>
      </c>
      <c r="B52" s="8" t="s">
        <v>53</v>
      </c>
      <c r="C52" s="4">
        <v>92</v>
      </c>
      <c r="D52" s="4">
        <v>391</v>
      </c>
      <c r="E52" s="4">
        <v>6</v>
      </c>
      <c r="F52" s="4">
        <v>46</v>
      </c>
      <c r="G52" s="4">
        <v>34</v>
      </c>
      <c r="H52" s="4">
        <v>15</v>
      </c>
      <c r="I52" s="5">
        <v>0.14099999999999999</v>
      </c>
      <c r="J52" s="6">
        <v>0.12</v>
      </c>
      <c r="K52" s="4">
        <v>0.115</v>
      </c>
      <c r="L52" s="4">
        <v>0.26200000000000001</v>
      </c>
      <c r="M52" s="7">
        <v>0.24099999999999999</v>
      </c>
      <c r="N52" s="4">
        <v>0.35399999999999998</v>
      </c>
      <c r="O52" s="4">
        <v>0.35599999999999998</v>
      </c>
      <c r="P52" s="4">
        <v>0.32200000000000001</v>
      </c>
      <c r="Q52" s="4">
        <v>0.32800000000000001</v>
      </c>
      <c r="R52" s="4">
        <v>101</v>
      </c>
      <c r="S52" s="7">
        <v>-1.5</v>
      </c>
      <c r="T52" s="7">
        <v>-0.9</v>
      </c>
      <c r="U52" s="4">
        <v>9.1999999999999993</v>
      </c>
      <c r="V52" s="4">
        <v>2.1</v>
      </c>
    </row>
    <row r="53" spans="1:22" ht="17" thickBot="1" x14ac:dyDescent="0.25">
      <c r="A53" s="8" t="s">
        <v>101</v>
      </c>
      <c r="B53" s="8" t="s">
        <v>102</v>
      </c>
      <c r="C53" s="4">
        <v>90</v>
      </c>
      <c r="D53" s="4">
        <v>376</v>
      </c>
      <c r="E53" s="4">
        <v>27</v>
      </c>
      <c r="F53" s="4">
        <v>59</v>
      </c>
      <c r="G53" s="4">
        <v>51</v>
      </c>
      <c r="H53" s="4">
        <v>5</v>
      </c>
      <c r="I53" s="5">
        <v>8.5000000000000006E-2</v>
      </c>
      <c r="J53" s="6">
        <v>0.32200000000000001</v>
      </c>
      <c r="K53" s="4">
        <v>0.28399999999999997</v>
      </c>
      <c r="L53" s="4">
        <v>0.307</v>
      </c>
      <c r="M53" s="7">
        <v>0.254</v>
      </c>
      <c r="N53" s="4">
        <v>0.32400000000000001</v>
      </c>
      <c r="O53" s="4">
        <v>0.53800000000000003</v>
      </c>
      <c r="P53" s="4">
        <v>0.36599999999999999</v>
      </c>
      <c r="Q53" s="4">
        <v>0.33400000000000002</v>
      </c>
      <c r="R53" s="4">
        <v>118</v>
      </c>
      <c r="S53" s="7">
        <v>-2.9</v>
      </c>
      <c r="T53" s="7">
        <v>5.3</v>
      </c>
      <c r="U53" s="4">
        <v>3</v>
      </c>
      <c r="V53" s="4">
        <v>2.1</v>
      </c>
    </row>
    <row r="54" spans="1:22" ht="17" thickBot="1" x14ac:dyDescent="0.25">
      <c r="A54" s="8" t="s">
        <v>103</v>
      </c>
      <c r="B54" s="8" t="s">
        <v>86</v>
      </c>
      <c r="C54" s="4">
        <v>94</v>
      </c>
      <c r="D54" s="4">
        <v>423</v>
      </c>
      <c r="E54" s="4">
        <v>19</v>
      </c>
      <c r="F54" s="4">
        <v>67</v>
      </c>
      <c r="G54" s="4">
        <v>45</v>
      </c>
      <c r="H54" s="4">
        <v>12</v>
      </c>
      <c r="I54" s="5">
        <v>0.104</v>
      </c>
      <c r="J54" s="6">
        <v>0.314</v>
      </c>
      <c r="K54" s="4">
        <v>0.218</v>
      </c>
      <c r="L54" s="4">
        <v>0.309</v>
      </c>
      <c r="M54" s="7">
        <v>0.23499999999999999</v>
      </c>
      <c r="N54" s="4">
        <v>0.32600000000000001</v>
      </c>
      <c r="O54" s="4">
        <v>0.45300000000000001</v>
      </c>
      <c r="P54" s="4">
        <v>0.33900000000000002</v>
      </c>
      <c r="Q54" s="4">
        <v>0.313</v>
      </c>
      <c r="R54" s="4">
        <v>116</v>
      </c>
      <c r="S54" s="7">
        <v>-1.2</v>
      </c>
      <c r="T54" s="7">
        <v>6.6</v>
      </c>
      <c r="U54" s="4">
        <v>-1.6</v>
      </c>
      <c r="V54" s="4">
        <v>2</v>
      </c>
    </row>
    <row r="55" spans="1:22" ht="17" thickBot="1" x14ac:dyDescent="0.25">
      <c r="A55" s="8" t="s">
        <v>104</v>
      </c>
      <c r="B55" s="8" t="s">
        <v>40</v>
      </c>
      <c r="C55" s="4">
        <v>87</v>
      </c>
      <c r="D55" s="4">
        <v>346</v>
      </c>
      <c r="E55" s="4">
        <v>18</v>
      </c>
      <c r="F55" s="4">
        <v>56</v>
      </c>
      <c r="G55" s="4">
        <v>59</v>
      </c>
      <c r="H55" s="4">
        <v>6</v>
      </c>
      <c r="I55" s="5">
        <v>0.13600000000000001</v>
      </c>
      <c r="J55" s="6">
        <v>0.25700000000000001</v>
      </c>
      <c r="K55" s="4">
        <v>0.24099999999999999</v>
      </c>
      <c r="L55" s="4">
        <v>0.32300000000000001</v>
      </c>
      <c r="M55" s="7">
        <v>0.26800000000000002</v>
      </c>
      <c r="N55" s="4">
        <v>0.373</v>
      </c>
      <c r="O55" s="4">
        <v>0.50800000000000001</v>
      </c>
      <c r="P55" s="4">
        <v>0.38</v>
      </c>
      <c r="Q55" s="4">
        <v>0.36399999999999999</v>
      </c>
      <c r="R55" s="4">
        <v>142</v>
      </c>
      <c r="S55" s="7">
        <v>2.1</v>
      </c>
      <c r="T55" s="7">
        <v>19.600000000000001</v>
      </c>
      <c r="U55" s="4">
        <v>-10.7</v>
      </c>
      <c r="V55" s="4">
        <v>2</v>
      </c>
    </row>
    <row r="56" spans="1:22" ht="17" thickBot="1" x14ac:dyDescent="0.25">
      <c r="A56" s="8" t="s">
        <v>105</v>
      </c>
      <c r="B56" s="8" t="s">
        <v>40</v>
      </c>
      <c r="C56" s="4">
        <v>86</v>
      </c>
      <c r="D56" s="4">
        <v>310</v>
      </c>
      <c r="E56" s="4">
        <v>8</v>
      </c>
      <c r="F56" s="4">
        <v>42</v>
      </c>
      <c r="G56" s="4">
        <v>44</v>
      </c>
      <c r="H56" s="4">
        <v>6</v>
      </c>
      <c r="I56" s="5">
        <v>0.11600000000000001</v>
      </c>
      <c r="J56" s="6">
        <v>0.32900000000000001</v>
      </c>
      <c r="K56" s="4">
        <v>0.185</v>
      </c>
      <c r="L56" s="4">
        <v>0.41</v>
      </c>
      <c r="M56" s="7">
        <v>0.27400000000000002</v>
      </c>
      <c r="N56" s="4">
        <v>0.36199999999999999</v>
      </c>
      <c r="O56" s="4">
        <v>0.45900000000000002</v>
      </c>
      <c r="P56" s="4">
        <v>0.35899999999999999</v>
      </c>
      <c r="Q56" s="4">
        <v>0.35599999999999998</v>
      </c>
      <c r="R56" s="4">
        <v>128</v>
      </c>
      <c r="S56" s="7">
        <v>0.1</v>
      </c>
      <c r="T56" s="7">
        <v>10.5</v>
      </c>
      <c r="U56" s="4">
        <v>-0.6</v>
      </c>
      <c r="V56" s="4">
        <v>2</v>
      </c>
    </row>
    <row r="57" spans="1:22" ht="17" thickBot="1" x14ac:dyDescent="0.25">
      <c r="A57" s="8" t="s">
        <v>106</v>
      </c>
      <c r="B57" s="8" t="s">
        <v>66</v>
      </c>
      <c r="C57" s="4">
        <v>92</v>
      </c>
      <c r="D57" s="4">
        <v>400</v>
      </c>
      <c r="E57" s="4">
        <v>11</v>
      </c>
      <c r="F57" s="4">
        <v>45</v>
      </c>
      <c r="G57" s="4">
        <v>43</v>
      </c>
      <c r="H57" s="4">
        <v>6</v>
      </c>
      <c r="I57" s="5">
        <v>9.8000000000000004E-2</v>
      </c>
      <c r="J57" s="6">
        <v>0.20499999999999999</v>
      </c>
      <c r="K57" s="4">
        <v>0.16700000000000001</v>
      </c>
      <c r="L57" s="4">
        <v>0.30599999999999999</v>
      </c>
      <c r="M57" s="7">
        <v>0.26100000000000001</v>
      </c>
      <c r="N57" s="4">
        <v>0.33200000000000002</v>
      </c>
      <c r="O57" s="4">
        <v>0.42799999999999999</v>
      </c>
      <c r="P57" s="4">
        <v>0.33100000000000002</v>
      </c>
      <c r="Q57" s="4">
        <v>0.33900000000000002</v>
      </c>
      <c r="R57" s="4">
        <v>107</v>
      </c>
      <c r="S57" s="7">
        <v>-0.9</v>
      </c>
      <c r="T57" s="7">
        <v>2.2999999999999998</v>
      </c>
      <c r="U57" s="4">
        <v>2.8</v>
      </c>
      <c r="V57" s="4">
        <v>2</v>
      </c>
    </row>
    <row r="58" spans="1:22" ht="17" thickBot="1" x14ac:dyDescent="0.25">
      <c r="A58" s="8" t="s">
        <v>107</v>
      </c>
      <c r="B58" s="8" t="s">
        <v>92</v>
      </c>
      <c r="C58" s="4">
        <v>96</v>
      </c>
      <c r="D58" s="4">
        <v>439</v>
      </c>
      <c r="E58" s="4">
        <v>17</v>
      </c>
      <c r="F58" s="4">
        <v>55</v>
      </c>
      <c r="G58" s="4">
        <v>43</v>
      </c>
      <c r="H58" s="4">
        <v>7</v>
      </c>
      <c r="I58" s="5">
        <v>7.6999999999999999E-2</v>
      </c>
      <c r="J58" s="6">
        <v>0.22600000000000001</v>
      </c>
      <c r="K58" s="4">
        <v>0.17899999999999999</v>
      </c>
      <c r="L58" s="4">
        <v>0.254</v>
      </c>
      <c r="M58" s="7">
        <v>0.224</v>
      </c>
      <c r="N58" s="4">
        <v>0.29399999999999998</v>
      </c>
      <c r="O58" s="4">
        <v>0.40300000000000002</v>
      </c>
      <c r="P58" s="4">
        <v>0.30499999999999999</v>
      </c>
      <c r="Q58" s="4">
        <v>0.308</v>
      </c>
      <c r="R58" s="4">
        <v>95</v>
      </c>
      <c r="S58" s="7">
        <v>1.4</v>
      </c>
      <c r="T58" s="7">
        <v>-1.4</v>
      </c>
      <c r="U58" s="4">
        <v>4.9000000000000004</v>
      </c>
      <c r="V58" s="4">
        <v>1.9</v>
      </c>
    </row>
    <row r="59" spans="1:22" ht="17" thickBot="1" x14ac:dyDescent="0.25">
      <c r="A59" s="8" t="s">
        <v>108</v>
      </c>
      <c r="B59" s="8" t="s">
        <v>23</v>
      </c>
      <c r="C59" s="4">
        <v>80</v>
      </c>
      <c r="D59" s="4">
        <v>343</v>
      </c>
      <c r="E59" s="4">
        <v>15</v>
      </c>
      <c r="F59" s="4">
        <v>47</v>
      </c>
      <c r="G59" s="4">
        <v>48</v>
      </c>
      <c r="H59" s="4">
        <v>1</v>
      </c>
      <c r="I59" s="5">
        <v>0.10199999999999999</v>
      </c>
      <c r="J59" s="6">
        <v>0.25700000000000001</v>
      </c>
      <c r="K59" s="4">
        <v>0.19500000000000001</v>
      </c>
      <c r="L59" s="4">
        <v>0.32700000000000001</v>
      </c>
      <c r="M59" s="7">
        <v>0.26800000000000002</v>
      </c>
      <c r="N59" s="4">
        <v>0.34699999999999998</v>
      </c>
      <c r="O59" s="4">
        <v>0.46400000000000002</v>
      </c>
      <c r="P59" s="4">
        <v>0.35</v>
      </c>
      <c r="Q59" s="4">
        <v>0.33100000000000002</v>
      </c>
      <c r="R59" s="4">
        <v>123</v>
      </c>
      <c r="S59" s="7">
        <v>-2.5</v>
      </c>
      <c r="T59" s="7">
        <v>7.1</v>
      </c>
      <c r="U59" s="4">
        <v>0.9</v>
      </c>
      <c r="V59" s="4">
        <v>1.9</v>
      </c>
    </row>
    <row r="60" spans="1:22" ht="17" thickBot="1" x14ac:dyDescent="0.25">
      <c r="A60" s="8" t="s">
        <v>109</v>
      </c>
      <c r="B60" s="8" t="s">
        <v>57</v>
      </c>
      <c r="C60" s="4">
        <v>91</v>
      </c>
      <c r="D60" s="4">
        <v>373</v>
      </c>
      <c r="E60" s="4">
        <v>4</v>
      </c>
      <c r="F60" s="4">
        <v>51</v>
      </c>
      <c r="G60" s="4">
        <v>43</v>
      </c>
      <c r="H60" s="4">
        <v>4</v>
      </c>
      <c r="I60" s="5">
        <v>7.4999999999999997E-2</v>
      </c>
      <c r="J60" s="6">
        <v>0.17699999999999999</v>
      </c>
      <c r="K60" s="4">
        <v>8.3000000000000004E-2</v>
      </c>
      <c r="L60" s="4">
        <v>0.372</v>
      </c>
      <c r="M60" s="7">
        <v>0.308</v>
      </c>
      <c r="N60" s="4">
        <v>0.37</v>
      </c>
      <c r="O60" s="4">
        <v>0.39100000000000001</v>
      </c>
      <c r="P60" s="4">
        <v>0.34</v>
      </c>
      <c r="Q60" s="4">
        <v>0.32800000000000001</v>
      </c>
      <c r="R60" s="4">
        <v>113</v>
      </c>
      <c r="S60" s="7">
        <v>0.5</v>
      </c>
      <c r="T60" s="7">
        <v>6.3</v>
      </c>
      <c r="U60" s="4">
        <v>0.7</v>
      </c>
      <c r="V60" s="4">
        <v>1.9</v>
      </c>
    </row>
    <row r="61" spans="1:22" ht="17" thickBot="1" x14ac:dyDescent="0.25">
      <c r="A61" s="8" t="s">
        <v>110</v>
      </c>
      <c r="B61" s="8" t="s">
        <v>69</v>
      </c>
      <c r="C61" s="4">
        <v>87</v>
      </c>
      <c r="D61" s="4">
        <v>378</v>
      </c>
      <c r="E61" s="4">
        <v>14</v>
      </c>
      <c r="F61" s="4">
        <v>46</v>
      </c>
      <c r="G61" s="4">
        <v>40</v>
      </c>
      <c r="H61" s="4">
        <v>12</v>
      </c>
      <c r="I61" s="5">
        <v>7.6999999999999999E-2</v>
      </c>
      <c r="J61" s="6">
        <v>0.20899999999999999</v>
      </c>
      <c r="K61" s="4">
        <v>0.16600000000000001</v>
      </c>
      <c r="L61" s="4">
        <v>0.29799999999999999</v>
      </c>
      <c r="M61" s="7">
        <v>0.25900000000000001</v>
      </c>
      <c r="N61" s="4">
        <v>0.32300000000000001</v>
      </c>
      <c r="O61" s="4">
        <v>0.42399999999999999</v>
      </c>
      <c r="P61" s="4">
        <v>0.32700000000000001</v>
      </c>
      <c r="Q61" s="4">
        <v>0.35</v>
      </c>
      <c r="R61" s="4">
        <v>115</v>
      </c>
      <c r="S61" s="7">
        <v>0.9</v>
      </c>
      <c r="T61" s="7">
        <v>7.6</v>
      </c>
      <c r="U61" s="4">
        <v>-2.2000000000000002</v>
      </c>
      <c r="V61" s="4">
        <v>1.9</v>
      </c>
    </row>
    <row r="62" spans="1:22" ht="17" thickBot="1" x14ac:dyDescent="0.25">
      <c r="A62" s="8" t="s">
        <v>111</v>
      </c>
      <c r="B62" s="8" t="s">
        <v>36</v>
      </c>
      <c r="C62" s="4">
        <v>88</v>
      </c>
      <c r="D62" s="4">
        <v>370</v>
      </c>
      <c r="E62" s="4">
        <v>19</v>
      </c>
      <c r="F62" s="4">
        <v>42</v>
      </c>
      <c r="G62" s="4">
        <v>50</v>
      </c>
      <c r="H62" s="4">
        <v>7</v>
      </c>
      <c r="I62" s="5">
        <v>2.4E-2</v>
      </c>
      <c r="J62" s="6">
        <v>0.192</v>
      </c>
      <c r="K62" s="4">
        <v>0.217</v>
      </c>
      <c r="L62" s="4">
        <v>0.29899999999999999</v>
      </c>
      <c r="M62" s="7">
        <v>0.28000000000000003</v>
      </c>
      <c r="N62" s="4">
        <v>0.308</v>
      </c>
      <c r="O62" s="4">
        <v>0.497</v>
      </c>
      <c r="P62" s="4">
        <v>0.34499999999999997</v>
      </c>
      <c r="Q62" s="4">
        <v>0.36099999999999999</v>
      </c>
      <c r="R62" s="4">
        <v>120</v>
      </c>
      <c r="S62" s="7">
        <v>0.1</v>
      </c>
      <c r="T62" s="7">
        <v>9</v>
      </c>
      <c r="U62" s="4">
        <v>-2.6</v>
      </c>
      <c r="V62" s="4">
        <v>1.9</v>
      </c>
    </row>
    <row r="63" spans="1:22" ht="17" thickBot="1" x14ac:dyDescent="0.25">
      <c r="A63" s="8" t="s">
        <v>112</v>
      </c>
      <c r="B63" s="8" t="s">
        <v>53</v>
      </c>
      <c r="C63" s="4">
        <v>92</v>
      </c>
      <c r="D63" s="4">
        <v>405</v>
      </c>
      <c r="E63" s="4">
        <v>17</v>
      </c>
      <c r="F63" s="4">
        <v>51</v>
      </c>
      <c r="G63" s="4">
        <v>54</v>
      </c>
      <c r="H63" s="4">
        <v>4</v>
      </c>
      <c r="I63" s="5">
        <v>7.1999999999999995E-2</v>
      </c>
      <c r="J63" s="6">
        <v>0.14299999999999999</v>
      </c>
      <c r="K63" s="4">
        <v>0.20499999999999999</v>
      </c>
      <c r="L63" s="4">
        <v>0.26100000000000001</v>
      </c>
      <c r="M63" s="7">
        <v>0.25600000000000001</v>
      </c>
      <c r="N63" s="4">
        <v>0.311</v>
      </c>
      <c r="O63" s="4">
        <v>0.46100000000000002</v>
      </c>
      <c r="P63" s="4">
        <v>0.33200000000000002</v>
      </c>
      <c r="Q63" s="4">
        <v>0.36399999999999999</v>
      </c>
      <c r="R63" s="4">
        <v>108</v>
      </c>
      <c r="S63" s="7">
        <v>0.5</v>
      </c>
      <c r="T63" s="7">
        <v>4.5999999999999996</v>
      </c>
      <c r="U63" s="4">
        <v>0.5</v>
      </c>
      <c r="V63" s="4">
        <v>1.9</v>
      </c>
    </row>
    <row r="64" spans="1:22" ht="17" thickBot="1" x14ac:dyDescent="0.25">
      <c r="A64" s="8" t="s">
        <v>113</v>
      </c>
      <c r="B64" s="8" t="s">
        <v>27</v>
      </c>
      <c r="C64" s="4">
        <v>90</v>
      </c>
      <c r="D64" s="4">
        <v>319</v>
      </c>
      <c r="E64" s="4">
        <v>20</v>
      </c>
      <c r="F64" s="4">
        <v>45</v>
      </c>
      <c r="G64" s="4">
        <v>68</v>
      </c>
      <c r="H64" s="4">
        <v>4</v>
      </c>
      <c r="I64" s="5">
        <v>4.7E-2</v>
      </c>
      <c r="J64" s="6">
        <v>0.15</v>
      </c>
      <c r="K64" s="4">
        <v>0.27100000000000002</v>
      </c>
      <c r="L64" s="4">
        <v>0.28000000000000003</v>
      </c>
      <c r="M64" s="7">
        <v>0.28399999999999997</v>
      </c>
      <c r="N64" s="4">
        <v>0.317</v>
      </c>
      <c r="O64" s="4">
        <v>0.55400000000000005</v>
      </c>
      <c r="P64" s="4">
        <v>0.37</v>
      </c>
      <c r="Q64" s="4">
        <v>0.36099999999999999</v>
      </c>
      <c r="R64" s="4">
        <v>135</v>
      </c>
      <c r="S64" s="7">
        <v>-0.5</v>
      </c>
      <c r="T64" s="7">
        <v>12.9</v>
      </c>
      <c r="U64" s="4">
        <v>-5.2</v>
      </c>
      <c r="V64" s="4">
        <v>1.8</v>
      </c>
    </row>
    <row r="65" spans="1:22" ht="17" thickBot="1" x14ac:dyDescent="0.25">
      <c r="A65" s="8" t="s">
        <v>114</v>
      </c>
      <c r="B65" s="8" t="s">
        <v>115</v>
      </c>
      <c r="C65" s="4">
        <v>95</v>
      </c>
      <c r="D65" s="4">
        <v>416</v>
      </c>
      <c r="E65" s="4">
        <v>5</v>
      </c>
      <c r="F65" s="4">
        <v>45</v>
      </c>
      <c r="G65" s="4">
        <v>35</v>
      </c>
      <c r="H65" s="4">
        <v>23</v>
      </c>
      <c r="I65" s="5">
        <v>8.2000000000000003E-2</v>
      </c>
      <c r="J65" s="6">
        <v>0.20899999999999999</v>
      </c>
      <c r="K65" s="4">
        <v>9.7000000000000003E-2</v>
      </c>
      <c r="L65" s="4">
        <v>0.34399999999999997</v>
      </c>
      <c r="M65" s="7">
        <v>0.27700000000000002</v>
      </c>
      <c r="N65" s="4">
        <v>0.34</v>
      </c>
      <c r="O65" s="4">
        <v>0.374</v>
      </c>
      <c r="P65" s="4">
        <v>0.316</v>
      </c>
      <c r="Q65" s="4">
        <v>0.34599999999999997</v>
      </c>
      <c r="R65" s="4">
        <v>102</v>
      </c>
      <c r="S65" s="7">
        <v>0.4</v>
      </c>
      <c r="T65" s="7">
        <v>1.4</v>
      </c>
      <c r="U65" s="4">
        <v>3.1</v>
      </c>
      <c r="V65" s="4">
        <v>1.8</v>
      </c>
    </row>
    <row r="66" spans="1:22" ht="17" thickBot="1" x14ac:dyDescent="0.25">
      <c r="A66" s="8" t="s">
        <v>116</v>
      </c>
      <c r="B66" s="8" t="s">
        <v>23</v>
      </c>
      <c r="C66" s="4">
        <v>95</v>
      </c>
      <c r="D66" s="4">
        <v>424</v>
      </c>
      <c r="E66" s="4">
        <v>11</v>
      </c>
      <c r="F66" s="4">
        <v>40</v>
      </c>
      <c r="G66" s="4">
        <v>49</v>
      </c>
      <c r="H66" s="4">
        <v>2</v>
      </c>
      <c r="I66" s="5">
        <v>0.14899999999999999</v>
      </c>
      <c r="J66" s="6">
        <v>0.222</v>
      </c>
      <c r="K66" s="4">
        <v>0.156</v>
      </c>
      <c r="L66" s="4">
        <v>0.29299999999999998</v>
      </c>
      <c r="M66" s="7">
        <v>0.23899999999999999</v>
      </c>
      <c r="N66" s="4">
        <v>0.36799999999999999</v>
      </c>
      <c r="O66" s="4">
        <v>0.39500000000000002</v>
      </c>
      <c r="P66" s="4">
        <v>0.34200000000000003</v>
      </c>
      <c r="Q66" s="4">
        <v>0.34699999999999998</v>
      </c>
      <c r="R66" s="4">
        <v>118</v>
      </c>
      <c r="S66" s="7">
        <v>-2.8</v>
      </c>
      <c r="T66" s="7">
        <v>6.4</v>
      </c>
      <c r="U66" s="4">
        <v>-2.4</v>
      </c>
      <c r="V66" s="4">
        <v>1.8</v>
      </c>
    </row>
    <row r="67" spans="1:22" ht="17" thickBot="1" x14ac:dyDescent="0.25">
      <c r="A67" s="8" t="s">
        <v>117</v>
      </c>
      <c r="B67" s="8" t="s">
        <v>46</v>
      </c>
      <c r="C67" s="4">
        <v>93</v>
      </c>
      <c r="D67" s="4">
        <v>392</v>
      </c>
      <c r="E67" s="4">
        <v>7</v>
      </c>
      <c r="F67" s="4">
        <v>54</v>
      </c>
      <c r="G67" s="4">
        <v>31</v>
      </c>
      <c r="H67" s="4">
        <v>2</v>
      </c>
      <c r="I67" s="5">
        <v>9.4E-2</v>
      </c>
      <c r="J67" s="6">
        <v>0.24</v>
      </c>
      <c r="K67" s="4">
        <v>0.11</v>
      </c>
      <c r="L67" s="4">
        <v>0.34799999999999998</v>
      </c>
      <c r="M67" s="7">
        <v>0.26900000000000002</v>
      </c>
      <c r="N67" s="4">
        <v>0.34100000000000003</v>
      </c>
      <c r="O67" s="4">
        <v>0.379</v>
      </c>
      <c r="P67" s="4">
        <v>0.32200000000000001</v>
      </c>
      <c r="Q67" s="4">
        <v>0.28999999999999998</v>
      </c>
      <c r="R67" s="4">
        <v>104</v>
      </c>
      <c r="S67" s="7">
        <v>-0.2</v>
      </c>
      <c r="T67" s="7">
        <v>1.7</v>
      </c>
      <c r="U67" s="4">
        <v>2.1</v>
      </c>
      <c r="V67" s="4">
        <v>1.8</v>
      </c>
    </row>
    <row r="68" spans="1:22" ht="17" thickBot="1" x14ac:dyDescent="0.25">
      <c r="A68" s="8" t="s">
        <v>118</v>
      </c>
      <c r="B68" s="8" t="s">
        <v>102</v>
      </c>
      <c r="C68" s="4">
        <v>93</v>
      </c>
      <c r="D68" s="4">
        <v>323</v>
      </c>
      <c r="E68" s="4">
        <v>9</v>
      </c>
      <c r="F68" s="4">
        <v>47</v>
      </c>
      <c r="G68" s="4">
        <v>34</v>
      </c>
      <c r="H68" s="4">
        <v>3</v>
      </c>
      <c r="I68" s="5">
        <v>0.124</v>
      </c>
      <c r="J68" s="6">
        <v>0.21099999999999999</v>
      </c>
      <c r="K68" s="4">
        <v>0.17599999999999999</v>
      </c>
      <c r="L68" s="4">
        <v>0.315</v>
      </c>
      <c r="M68" s="7">
        <v>0.26300000000000001</v>
      </c>
      <c r="N68" s="4">
        <v>0.35899999999999999</v>
      </c>
      <c r="O68" s="4">
        <v>0.439</v>
      </c>
      <c r="P68" s="4">
        <v>0.34899999999999998</v>
      </c>
      <c r="Q68" s="4">
        <v>0.34499999999999997</v>
      </c>
      <c r="R68" s="4">
        <v>107</v>
      </c>
      <c r="S68" s="7">
        <v>1.4</v>
      </c>
      <c r="T68" s="7">
        <v>4.2</v>
      </c>
      <c r="U68" s="4">
        <v>2.8</v>
      </c>
      <c r="V68" s="4">
        <v>1.8</v>
      </c>
    </row>
    <row r="69" spans="1:22" ht="17" thickBot="1" x14ac:dyDescent="0.25">
      <c r="A69" s="8" t="s">
        <v>119</v>
      </c>
      <c r="B69" s="8" t="s">
        <v>102</v>
      </c>
      <c r="C69" s="4">
        <v>95</v>
      </c>
      <c r="D69" s="4">
        <v>384</v>
      </c>
      <c r="E69" s="4">
        <v>12</v>
      </c>
      <c r="F69" s="4">
        <v>42</v>
      </c>
      <c r="G69" s="4">
        <v>47</v>
      </c>
      <c r="H69" s="4">
        <v>0</v>
      </c>
      <c r="I69" s="5">
        <v>0.104</v>
      </c>
      <c r="J69" s="6">
        <v>0.13800000000000001</v>
      </c>
      <c r="K69" s="4">
        <v>0.17899999999999999</v>
      </c>
      <c r="L69" s="4">
        <v>0.32</v>
      </c>
      <c r="M69" s="7">
        <v>0.29599999999999999</v>
      </c>
      <c r="N69" s="4">
        <v>0.38</v>
      </c>
      <c r="O69" s="4">
        <v>0.47499999999999998</v>
      </c>
      <c r="P69" s="4">
        <v>0.374</v>
      </c>
      <c r="Q69" s="4">
        <v>0.32300000000000001</v>
      </c>
      <c r="R69" s="4">
        <v>124</v>
      </c>
      <c r="S69" s="7">
        <v>-2.6</v>
      </c>
      <c r="T69" s="7">
        <v>8.6</v>
      </c>
      <c r="U69" s="4">
        <v>-3.9</v>
      </c>
      <c r="V69" s="4">
        <v>1.7</v>
      </c>
    </row>
    <row r="70" spans="1:22" ht="17" thickBot="1" x14ac:dyDescent="0.25">
      <c r="A70" s="8" t="s">
        <v>120</v>
      </c>
      <c r="B70" s="8" t="s">
        <v>38</v>
      </c>
      <c r="C70" s="4">
        <v>94</v>
      </c>
      <c r="D70" s="4">
        <v>398</v>
      </c>
      <c r="E70" s="4">
        <v>15</v>
      </c>
      <c r="F70" s="4">
        <v>49</v>
      </c>
      <c r="G70" s="4">
        <v>67</v>
      </c>
      <c r="H70" s="4">
        <v>3</v>
      </c>
      <c r="I70" s="5">
        <v>0.08</v>
      </c>
      <c r="J70" s="6">
        <v>0.151</v>
      </c>
      <c r="K70" s="4">
        <v>0.19500000000000001</v>
      </c>
      <c r="L70" s="4">
        <v>0.28899999999999998</v>
      </c>
      <c r="M70" s="7">
        <v>0.27300000000000002</v>
      </c>
      <c r="N70" s="4">
        <v>0.33700000000000002</v>
      </c>
      <c r="O70" s="4">
        <v>0.46800000000000003</v>
      </c>
      <c r="P70" s="4">
        <v>0.34699999999999998</v>
      </c>
      <c r="Q70" s="4">
        <v>0.38100000000000001</v>
      </c>
      <c r="R70" s="4">
        <v>122</v>
      </c>
      <c r="S70" s="7">
        <v>0.4</v>
      </c>
      <c r="T70" s="7">
        <v>10.8</v>
      </c>
      <c r="U70" s="4">
        <v>-6.7</v>
      </c>
      <c r="V70" s="4">
        <v>1.7</v>
      </c>
    </row>
    <row r="71" spans="1:22" ht="17" thickBot="1" x14ac:dyDescent="0.25">
      <c r="A71" s="8" t="s">
        <v>121</v>
      </c>
      <c r="B71" s="8" t="s">
        <v>50</v>
      </c>
      <c r="C71" s="4">
        <v>95</v>
      </c>
      <c r="D71" s="4">
        <v>414</v>
      </c>
      <c r="E71" s="4">
        <v>19</v>
      </c>
      <c r="F71" s="4">
        <v>51</v>
      </c>
      <c r="G71" s="4">
        <v>65</v>
      </c>
      <c r="H71" s="4">
        <v>11</v>
      </c>
      <c r="I71" s="5">
        <v>0.109</v>
      </c>
      <c r="J71" s="6">
        <v>0.21</v>
      </c>
      <c r="K71" s="4">
        <v>0.218</v>
      </c>
      <c r="L71" s="4">
        <v>0.28399999999999997</v>
      </c>
      <c r="M71" s="7">
        <v>0.25600000000000001</v>
      </c>
      <c r="N71" s="4">
        <v>0.33800000000000002</v>
      </c>
      <c r="O71" s="4">
        <v>0.47399999999999998</v>
      </c>
      <c r="P71" s="4">
        <v>0.34899999999999998</v>
      </c>
      <c r="Q71" s="4">
        <v>0.35099999999999998</v>
      </c>
      <c r="R71" s="4">
        <v>116</v>
      </c>
      <c r="S71" s="7">
        <v>-1</v>
      </c>
      <c r="T71" s="7">
        <v>7</v>
      </c>
      <c r="U71" s="4">
        <v>-3.6</v>
      </c>
      <c r="V71" s="4">
        <v>1.7</v>
      </c>
    </row>
    <row r="72" spans="1:22" ht="17" thickBot="1" x14ac:dyDescent="0.25">
      <c r="A72" s="8" t="s">
        <v>122</v>
      </c>
      <c r="B72" s="8" t="s">
        <v>23</v>
      </c>
      <c r="C72" s="4">
        <v>94</v>
      </c>
      <c r="D72" s="4">
        <v>431</v>
      </c>
      <c r="E72" s="4">
        <v>9</v>
      </c>
      <c r="F72" s="4">
        <v>45</v>
      </c>
      <c r="G72" s="4">
        <v>41</v>
      </c>
      <c r="H72" s="4">
        <v>2</v>
      </c>
      <c r="I72" s="5">
        <v>0.114</v>
      </c>
      <c r="J72" s="6">
        <v>0.153</v>
      </c>
      <c r="K72" s="4">
        <v>0.11899999999999999</v>
      </c>
      <c r="L72" s="4">
        <v>0.26700000000000002</v>
      </c>
      <c r="M72" s="7">
        <v>0.24099999999999999</v>
      </c>
      <c r="N72" s="4">
        <v>0.33600000000000002</v>
      </c>
      <c r="O72" s="4">
        <v>0.35899999999999999</v>
      </c>
      <c r="P72" s="4">
        <v>0.312</v>
      </c>
      <c r="Q72" s="4">
        <v>0.311</v>
      </c>
      <c r="R72" s="4">
        <v>97</v>
      </c>
      <c r="S72" s="7">
        <v>-0.3</v>
      </c>
      <c r="T72" s="7">
        <v>-1.7</v>
      </c>
      <c r="U72" s="4">
        <v>4.4000000000000004</v>
      </c>
      <c r="V72" s="4">
        <v>1.7</v>
      </c>
    </row>
    <row r="73" spans="1:22" ht="17" thickBot="1" x14ac:dyDescent="0.25">
      <c r="A73" s="8" t="s">
        <v>123</v>
      </c>
      <c r="B73" s="8" t="s">
        <v>31</v>
      </c>
      <c r="C73" s="4">
        <v>85</v>
      </c>
      <c r="D73" s="4">
        <v>342</v>
      </c>
      <c r="E73" s="4">
        <v>13</v>
      </c>
      <c r="F73" s="4">
        <v>50</v>
      </c>
      <c r="G73" s="4">
        <v>58</v>
      </c>
      <c r="H73" s="4">
        <v>2</v>
      </c>
      <c r="I73" s="5">
        <v>9.6000000000000002E-2</v>
      </c>
      <c r="J73" s="6">
        <v>8.7999999999999995E-2</v>
      </c>
      <c r="K73" s="4">
        <v>0.16800000000000001</v>
      </c>
      <c r="L73" s="4">
        <v>0.28100000000000003</v>
      </c>
      <c r="M73" s="7">
        <v>0.28999999999999998</v>
      </c>
      <c r="N73" s="4">
        <v>0.36399999999999999</v>
      </c>
      <c r="O73" s="4">
        <v>0.45800000000000002</v>
      </c>
      <c r="P73" s="4">
        <v>0.35699999999999998</v>
      </c>
      <c r="Q73" s="4">
        <v>0.309</v>
      </c>
      <c r="R73" s="4">
        <v>125</v>
      </c>
      <c r="S73" s="7">
        <v>-3.5</v>
      </c>
      <c r="T73" s="7">
        <v>6.8</v>
      </c>
      <c r="U73" s="4">
        <v>-1.3</v>
      </c>
      <c r="V73" s="4">
        <v>1.7</v>
      </c>
    </row>
    <row r="74" spans="1:22" ht="17" thickBot="1" x14ac:dyDescent="0.25">
      <c r="A74" s="8" t="s">
        <v>124</v>
      </c>
      <c r="B74" s="8" t="s">
        <v>61</v>
      </c>
      <c r="C74" s="4">
        <v>80</v>
      </c>
      <c r="D74" s="4">
        <v>333</v>
      </c>
      <c r="E74" s="4">
        <v>11</v>
      </c>
      <c r="F74" s="4">
        <v>33</v>
      </c>
      <c r="G74" s="4">
        <v>46</v>
      </c>
      <c r="H74" s="4">
        <v>3</v>
      </c>
      <c r="I74" s="5">
        <v>9.6000000000000002E-2</v>
      </c>
      <c r="J74" s="6">
        <v>0.13500000000000001</v>
      </c>
      <c r="K74" s="4">
        <v>0.17100000000000001</v>
      </c>
      <c r="L74" s="4">
        <v>0.29399999999999998</v>
      </c>
      <c r="M74" s="7">
        <v>0.27800000000000002</v>
      </c>
      <c r="N74" s="4">
        <v>0.34499999999999997</v>
      </c>
      <c r="O74" s="4">
        <v>0.44800000000000001</v>
      </c>
      <c r="P74" s="4">
        <v>0.34699999999999998</v>
      </c>
      <c r="Q74" s="4">
        <v>0.34200000000000003</v>
      </c>
      <c r="R74" s="4">
        <v>123</v>
      </c>
      <c r="S74" s="7">
        <v>0.6</v>
      </c>
      <c r="T74" s="7">
        <v>9.6999999999999993</v>
      </c>
      <c r="U74" s="4">
        <v>-5</v>
      </c>
      <c r="V74" s="4">
        <v>1.7</v>
      </c>
    </row>
    <row r="75" spans="1:22" ht="17" thickBot="1" x14ac:dyDescent="0.25">
      <c r="A75" s="8" t="s">
        <v>125</v>
      </c>
      <c r="B75" s="8" t="s">
        <v>80</v>
      </c>
      <c r="C75" s="4">
        <v>97</v>
      </c>
      <c r="D75" s="4">
        <v>408</v>
      </c>
      <c r="E75" s="4">
        <v>20</v>
      </c>
      <c r="F75" s="4">
        <v>59</v>
      </c>
      <c r="G75" s="4">
        <v>57</v>
      </c>
      <c r="H75" s="4">
        <v>5</v>
      </c>
      <c r="I75" s="5">
        <v>0.14699999999999999</v>
      </c>
      <c r="J75" s="6">
        <v>0.20100000000000001</v>
      </c>
      <c r="K75" s="4">
        <v>0.23699999999999999</v>
      </c>
      <c r="L75" s="4">
        <v>0.28000000000000003</v>
      </c>
      <c r="M75" s="7">
        <v>0.26</v>
      </c>
      <c r="N75" s="4">
        <v>0.36499999999999999</v>
      </c>
      <c r="O75" s="4">
        <v>0.497</v>
      </c>
      <c r="P75" s="4">
        <v>0.371</v>
      </c>
      <c r="Q75" s="4">
        <v>0.39400000000000002</v>
      </c>
      <c r="R75" s="4">
        <v>133</v>
      </c>
      <c r="S75" s="7">
        <v>-1.8</v>
      </c>
      <c r="T75" s="7">
        <v>14.6</v>
      </c>
      <c r="U75" s="4">
        <v>-11.4</v>
      </c>
      <c r="V75" s="4">
        <v>1.7</v>
      </c>
    </row>
    <row r="76" spans="1:22" ht="17" thickBot="1" x14ac:dyDescent="0.25">
      <c r="A76" s="8" t="s">
        <v>126</v>
      </c>
      <c r="B76" s="8" t="s">
        <v>69</v>
      </c>
      <c r="C76" s="4">
        <v>97</v>
      </c>
      <c r="D76" s="4">
        <v>384</v>
      </c>
      <c r="E76" s="4">
        <v>11</v>
      </c>
      <c r="F76" s="4">
        <v>45</v>
      </c>
      <c r="G76" s="4">
        <v>43</v>
      </c>
      <c r="H76" s="4">
        <v>3</v>
      </c>
      <c r="I76" s="5">
        <v>6.5000000000000002E-2</v>
      </c>
      <c r="J76" s="6">
        <v>0.182</v>
      </c>
      <c r="K76" s="4">
        <v>0.14099999999999999</v>
      </c>
      <c r="L76" s="4">
        <v>0.28499999999999998</v>
      </c>
      <c r="M76" s="7">
        <v>0.253</v>
      </c>
      <c r="N76" s="4">
        <v>0.313</v>
      </c>
      <c r="O76" s="4">
        <v>0.39400000000000002</v>
      </c>
      <c r="P76" s="4">
        <v>0.312</v>
      </c>
      <c r="Q76" s="4">
        <v>0.33</v>
      </c>
      <c r="R76" s="4">
        <v>104</v>
      </c>
      <c r="S76" s="7">
        <v>-1</v>
      </c>
      <c r="T76" s="7">
        <v>1</v>
      </c>
      <c r="U76" s="4">
        <v>1.8</v>
      </c>
      <c r="V76" s="4">
        <v>1.7</v>
      </c>
    </row>
    <row r="77" spans="1:22" ht="17" thickBot="1" x14ac:dyDescent="0.25">
      <c r="A77" s="8" t="s">
        <v>127</v>
      </c>
      <c r="B77" s="8" t="s">
        <v>23</v>
      </c>
      <c r="C77" s="4">
        <v>92</v>
      </c>
      <c r="D77" s="4">
        <v>397</v>
      </c>
      <c r="E77" s="4">
        <v>17</v>
      </c>
      <c r="F77" s="4">
        <v>59</v>
      </c>
      <c r="G77" s="4">
        <v>42</v>
      </c>
      <c r="H77" s="4">
        <v>4</v>
      </c>
      <c r="I77" s="5">
        <v>0.126</v>
      </c>
      <c r="J77" s="6">
        <v>0.315</v>
      </c>
      <c r="K77" s="4">
        <v>0.21099999999999999</v>
      </c>
      <c r="L77" s="4">
        <v>0.28999999999999998</v>
      </c>
      <c r="M77" s="7">
        <v>0.22</v>
      </c>
      <c r="N77" s="4">
        <v>0.32700000000000001</v>
      </c>
      <c r="O77" s="4">
        <v>0.43099999999999999</v>
      </c>
      <c r="P77" s="4">
        <v>0.33100000000000002</v>
      </c>
      <c r="Q77" s="4">
        <v>0.32100000000000001</v>
      </c>
      <c r="R77" s="4">
        <v>110</v>
      </c>
      <c r="S77" s="7">
        <v>-0.6</v>
      </c>
      <c r="T77" s="7">
        <v>4.4000000000000004</v>
      </c>
      <c r="U77" s="4">
        <v>-0.9</v>
      </c>
      <c r="V77" s="4">
        <v>1.7</v>
      </c>
    </row>
    <row r="78" spans="1:22" ht="17" thickBot="1" x14ac:dyDescent="0.25">
      <c r="A78" s="8" t="s">
        <v>128</v>
      </c>
      <c r="B78" s="8" t="s">
        <v>71</v>
      </c>
      <c r="C78" s="4">
        <v>95</v>
      </c>
      <c r="D78" s="4">
        <v>410</v>
      </c>
      <c r="E78" s="4">
        <v>14</v>
      </c>
      <c r="F78" s="4">
        <v>61</v>
      </c>
      <c r="G78" s="4">
        <v>51</v>
      </c>
      <c r="H78" s="4">
        <v>1</v>
      </c>
      <c r="I78" s="5">
        <v>7.0999999999999994E-2</v>
      </c>
      <c r="J78" s="6">
        <v>0.13400000000000001</v>
      </c>
      <c r="K78" s="4">
        <v>0.17199999999999999</v>
      </c>
      <c r="L78" s="4">
        <v>0.27300000000000002</v>
      </c>
      <c r="M78" s="7">
        <v>0.26700000000000002</v>
      </c>
      <c r="N78" s="4">
        <v>0.32</v>
      </c>
      <c r="O78" s="4">
        <v>0.439</v>
      </c>
      <c r="P78" s="4">
        <v>0.32700000000000001</v>
      </c>
      <c r="Q78" s="4">
        <v>0.29099999999999998</v>
      </c>
      <c r="R78" s="4">
        <v>105</v>
      </c>
      <c r="S78" s="7">
        <v>-0.3</v>
      </c>
      <c r="T78" s="7">
        <v>2.2000000000000002</v>
      </c>
      <c r="U78" s="4">
        <v>0.9</v>
      </c>
      <c r="V78" s="4">
        <v>1.7</v>
      </c>
    </row>
    <row r="79" spans="1:22" ht="17" thickBot="1" x14ac:dyDescent="0.25">
      <c r="A79" s="8" t="s">
        <v>129</v>
      </c>
      <c r="B79" s="8" t="s">
        <v>102</v>
      </c>
      <c r="C79" s="4">
        <v>83</v>
      </c>
      <c r="D79" s="4">
        <v>307</v>
      </c>
      <c r="E79" s="4">
        <v>10</v>
      </c>
      <c r="F79" s="4">
        <v>39</v>
      </c>
      <c r="G79" s="4">
        <v>53</v>
      </c>
      <c r="H79" s="4">
        <v>15</v>
      </c>
      <c r="I79" s="5">
        <v>5.8999999999999997E-2</v>
      </c>
      <c r="J79" s="6">
        <v>0.17599999999999999</v>
      </c>
      <c r="K79" s="4">
        <v>0.215</v>
      </c>
      <c r="L79" s="4">
        <v>0.33900000000000002</v>
      </c>
      <c r="M79" s="7">
        <v>0.30099999999999999</v>
      </c>
      <c r="N79" s="4">
        <v>0.34699999999999998</v>
      </c>
      <c r="O79" s="4">
        <v>0.51600000000000001</v>
      </c>
      <c r="P79" s="4">
        <v>0.36899999999999999</v>
      </c>
      <c r="Q79" s="4">
        <v>0.312</v>
      </c>
      <c r="R79" s="4">
        <v>121</v>
      </c>
      <c r="S79" s="7">
        <v>2.8</v>
      </c>
      <c r="T79" s="7">
        <v>10.5</v>
      </c>
      <c r="U79" s="4">
        <v>-4.2</v>
      </c>
      <c r="V79" s="4">
        <v>1.7</v>
      </c>
    </row>
    <row r="80" spans="1:22" ht="17" thickBot="1" x14ac:dyDescent="0.25">
      <c r="A80" s="8" t="s">
        <v>130</v>
      </c>
      <c r="B80" s="8" t="s">
        <v>59</v>
      </c>
      <c r="C80" s="4">
        <v>94</v>
      </c>
      <c r="D80" s="4">
        <v>386</v>
      </c>
      <c r="E80" s="4">
        <v>11</v>
      </c>
      <c r="F80" s="4">
        <v>52</v>
      </c>
      <c r="G80" s="4">
        <v>37</v>
      </c>
      <c r="H80" s="4">
        <v>15</v>
      </c>
      <c r="I80" s="5">
        <v>7.4999999999999997E-2</v>
      </c>
      <c r="J80" s="6">
        <v>0.215</v>
      </c>
      <c r="K80" s="4">
        <v>0.13900000000000001</v>
      </c>
      <c r="L80" s="4">
        <v>0.317</v>
      </c>
      <c r="M80" s="7">
        <v>0.26300000000000001</v>
      </c>
      <c r="N80" s="4">
        <v>0.32600000000000001</v>
      </c>
      <c r="O80" s="4">
        <v>0.40200000000000002</v>
      </c>
      <c r="P80" s="4">
        <v>0.32200000000000001</v>
      </c>
      <c r="Q80" s="4">
        <v>0.35199999999999998</v>
      </c>
      <c r="R80" s="4">
        <v>106</v>
      </c>
      <c r="S80" s="7">
        <v>2.6</v>
      </c>
      <c r="T80" s="7">
        <v>5.4</v>
      </c>
      <c r="U80" s="4">
        <v>-1.8</v>
      </c>
      <c r="V80" s="4">
        <v>1.6</v>
      </c>
    </row>
    <row r="81" spans="1:22" ht="17" thickBot="1" x14ac:dyDescent="0.25">
      <c r="A81" s="8" t="s">
        <v>131</v>
      </c>
      <c r="B81" s="8" t="s">
        <v>115</v>
      </c>
      <c r="C81" s="4">
        <v>91</v>
      </c>
      <c r="D81" s="4">
        <v>363</v>
      </c>
      <c r="E81" s="4">
        <v>9</v>
      </c>
      <c r="F81" s="4">
        <v>38</v>
      </c>
      <c r="G81" s="4">
        <v>37</v>
      </c>
      <c r="H81" s="4">
        <v>12</v>
      </c>
      <c r="I81" s="5">
        <v>0.113</v>
      </c>
      <c r="J81" s="6">
        <v>0.19</v>
      </c>
      <c r="K81" s="4">
        <v>0.107</v>
      </c>
      <c r="L81" s="4">
        <v>0.25700000000000001</v>
      </c>
      <c r="M81" s="7">
        <v>0.224</v>
      </c>
      <c r="N81" s="4">
        <v>0.317</v>
      </c>
      <c r="O81" s="4">
        <v>0.33100000000000002</v>
      </c>
      <c r="P81" s="4">
        <v>0.29399999999999998</v>
      </c>
      <c r="Q81" s="4">
        <v>0.314</v>
      </c>
      <c r="R81" s="4">
        <v>87</v>
      </c>
      <c r="S81" s="7">
        <v>0.8</v>
      </c>
      <c r="T81" s="7">
        <v>-4.9000000000000004</v>
      </c>
      <c r="U81" s="4">
        <v>9.3000000000000007</v>
      </c>
      <c r="V81" s="4">
        <v>1.6</v>
      </c>
    </row>
    <row r="82" spans="1:22" ht="17" thickBot="1" x14ac:dyDescent="0.25">
      <c r="A82" s="8" t="s">
        <v>132</v>
      </c>
      <c r="B82" s="8" t="s">
        <v>40</v>
      </c>
      <c r="C82" s="4">
        <v>89</v>
      </c>
      <c r="D82" s="4">
        <v>384</v>
      </c>
      <c r="E82" s="4">
        <v>9</v>
      </c>
      <c r="F82" s="4">
        <v>48</v>
      </c>
      <c r="G82" s="4">
        <v>53</v>
      </c>
      <c r="H82" s="4">
        <v>1</v>
      </c>
      <c r="I82" s="5">
        <v>8.3000000000000004E-2</v>
      </c>
      <c r="J82" s="6">
        <v>0.13500000000000001</v>
      </c>
      <c r="K82" s="4">
        <v>0.11600000000000001</v>
      </c>
      <c r="L82" s="4">
        <v>0.30599999999999999</v>
      </c>
      <c r="M82" s="7">
        <v>0.28199999999999997</v>
      </c>
      <c r="N82" s="4">
        <v>0.34399999999999997</v>
      </c>
      <c r="O82" s="4">
        <v>0.39800000000000002</v>
      </c>
      <c r="P82" s="4">
        <v>0.32400000000000001</v>
      </c>
      <c r="Q82" s="4">
        <v>0.33700000000000002</v>
      </c>
      <c r="R82" s="4">
        <v>105</v>
      </c>
      <c r="S82" s="7">
        <v>-2.5</v>
      </c>
      <c r="T82" s="7">
        <v>-0.4</v>
      </c>
      <c r="U82" s="4">
        <v>4</v>
      </c>
      <c r="V82" s="4">
        <v>1.6</v>
      </c>
    </row>
    <row r="83" spans="1:22" ht="17" thickBot="1" x14ac:dyDescent="0.25">
      <c r="A83" s="8" t="s">
        <v>133</v>
      </c>
      <c r="B83" s="8" t="s">
        <v>92</v>
      </c>
      <c r="C83" s="4">
        <v>96</v>
      </c>
      <c r="D83" s="4">
        <v>439</v>
      </c>
      <c r="E83" s="4">
        <v>6</v>
      </c>
      <c r="F83" s="4">
        <v>57</v>
      </c>
      <c r="G83" s="4">
        <v>25</v>
      </c>
      <c r="H83" s="4">
        <v>3</v>
      </c>
      <c r="I83" s="5">
        <v>0.17100000000000001</v>
      </c>
      <c r="J83" s="6">
        <v>0.20699999999999999</v>
      </c>
      <c r="K83" s="4">
        <v>0.104</v>
      </c>
      <c r="L83" s="4">
        <v>0.32300000000000001</v>
      </c>
      <c r="M83" s="7">
        <v>0.255</v>
      </c>
      <c r="N83" s="4">
        <v>0.38700000000000001</v>
      </c>
      <c r="O83" s="4">
        <v>0.35899999999999999</v>
      </c>
      <c r="P83" s="4">
        <v>0.34100000000000003</v>
      </c>
      <c r="Q83" s="4">
        <v>0.34599999999999997</v>
      </c>
      <c r="R83" s="4">
        <v>120</v>
      </c>
      <c r="S83" s="7">
        <v>-4.0999999999999996</v>
      </c>
      <c r="T83" s="7">
        <v>6.1</v>
      </c>
      <c r="U83" s="4">
        <v>-6</v>
      </c>
      <c r="V83" s="4">
        <v>1.6</v>
      </c>
    </row>
    <row r="84" spans="1:22" ht="17" thickBot="1" x14ac:dyDescent="0.25">
      <c r="A84" s="8" t="s">
        <v>134</v>
      </c>
      <c r="B84" s="8" t="s">
        <v>80</v>
      </c>
      <c r="C84" s="4">
        <v>92</v>
      </c>
      <c r="D84" s="4">
        <v>363</v>
      </c>
      <c r="E84" s="4">
        <v>15</v>
      </c>
      <c r="F84" s="4">
        <v>52</v>
      </c>
      <c r="G84" s="4">
        <v>46</v>
      </c>
      <c r="H84" s="4">
        <v>8</v>
      </c>
      <c r="I84" s="5">
        <v>5.1999999999999998E-2</v>
      </c>
      <c r="J84" s="6">
        <v>0.26400000000000001</v>
      </c>
      <c r="K84" s="4">
        <v>0.189</v>
      </c>
      <c r="L84" s="4">
        <v>0.377</v>
      </c>
      <c r="M84" s="7">
        <v>0.30099999999999999</v>
      </c>
      <c r="N84" s="4">
        <v>0.33900000000000002</v>
      </c>
      <c r="O84" s="4">
        <v>0.49</v>
      </c>
      <c r="P84" s="4">
        <v>0.35599999999999998</v>
      </c>
      <c r="Q84" s="4">
        <v>0.32400000000000001</v>
      </c>
      <c r="R84" s="4">
        <v>123</v>
      </c>
      <c r="S84" s="7">
        <v>0.4</v>
      </c>
      <c r="T84" s="7">
        <v>10.6</v>
      </c>
      <c r="U84" s="4">
        <v>-6.8</v>
      </c>
      <c r="V84" s="4">
        <v>1.6</v>
      </c>
    </row>
    <row r="85" spans="1:22" ht="17" thickBot="1" x14ac:dyDescent="0.25">
      <c r="A85" s="8" t="s">
        <v>135</v>
      </c>
      <c r="B85" s="8" t="s">
        <v>63</v>
      </c>
      <c r="C85" s="4">
        <v>83</v>
      </c>
      <c r="D85" s="4">
        <v>332</v>
      </c>
      <c r="E85" s="4">
        <v>16</v>
      </c>
      <c r="F85" s="4">
        <v>45</v>
      </c>
      <c r="G85" s="4">
        <v>46</v>
      </c>
      <c r="H85" s="4">
        <v>6</v>
      </c>
      <c r="I85" s="5">
        <v>6.6000000000000003E-2</v>
      </c>
      <c r="J85" s="6">
        <v>0.22600000000000001</v>
      </c>
      <c r="K85" s="4">
        <v>0.23899999999999999</v>
      </c>
      <c r="L85" s="4">
        <v>0.26900000000000002</v>
      </c>
      <c r="M85" s="7">
        <v>0.24299999999999999</v>
      </c>
      <c r="N85" s="4">
        <v>0.30299999999999999</v>
      </c>
      <c r="O85" s="4">
        <v>0.48199999999999998</v>
      </c>
      <c r="P85" s="4">
        <v>0.33600000000000002</v>
      </c>
      <c r="Q85" s="4">
        <v>0.33900000000000002</v>
      </c>
      <c r="R85" s="4">
        <v>114</v>
      </c>
      <c r="S85" s="7">
        <v>0</v>
      </c>
      <c r="T85" s="7">
        <v>5.3</v>
      </c>
      <c r="U85" s="4">
        <v>-1.6</v>
      </c>
      <c r="V85" s="4">
        <v>1.6</v>
      </c>
    </row>
    <row r="86" spans="1:22" ht="17" thickBot="1" x14ac:dyDescent="0.25">
      <c r="A86" s="8" t="s">
        <v>136</v>
      </c>
      <c r="B86" s="8" t="s">
        <v>29</v>
      </c>
      <c r="C86" s="4">
        <v>96</v>
      </c>
      <c r="D86" s="4">
        <v>400</v>
      </c>
      <c r="E86" s="4">
        <v>20</v>
      </c>
      <c r="F86" s="4">
        <v>50</v>
      </c>
      <c r="G86" s="4">
        <v>58</v>
      </c>
      <c r="H86" s="4">
        <v>0</v>
      </c>
      <c r="I86" s="5">
        <v>8.3000000000000004E-2</v>
      </c>
      <c r="J86" s="6">
        <v>0.22500000000000001</v>
      </c>
      <c r="K86" s="4">
        <v>0.22600000000000001</v>
      </c>
      <c r="L86" s="4">
        <v>0.26</v>
      </c>
      <c r="M86" s="7">
        <v>0.23699999999999999</v>
      </c>
      <c r="N86" s="4">
        <v>0.313</v>
      </c>
      <c r="O86" s="4">
        <v>0.46200000000000002</v>
      </c>
      <c r="P86" s="4">
        <v>0.33500000000000002</v>
      </c>
      <c r="Q86" s="4">
        <v>0.30399999999999999</v>
      </c>
      <c r="R86" s="4">
        <v>114</v>
      </c>
      <c r="S86" s="7">
        <v>-0.3</v>
      </c>
      <c r="T86" s="7">
        <v>6.4</v>
      </c>
      <c r="U86" s="4">
        <v>-5.2</v>
      </c>
      <c r="V86" s="4">
        <v>1.6</v>
      </c>
    </row>
    <row r="87" spans="1:22" ht="17" thickBot="1" x14ac:dyDescent="0.25">
      <c r="A87" s="8" t="s">
        <v>137</v>
      </c>
      <c r="B87" s="8" t="s">
        <v>38</v>
      </c>
      <c r="C87" s="4">
        <v>95</v>
      </c>
      <c r="D87" s="4">
        <v>423</v>
      </c>
      <c r="E87" s="4">
        <v>11</v>
      </c>
      <c r="F87" s="4">
        <v>60</v>
      </c>
      <c r="G87" s="4">
        <v>40</v>
      </c>
      <c r="H87" s="4">
        <v>5</v>
      </c>
      <c r="I87" s="5">
        <v>0.121</v>
      </c>
      <c r="J87" s="6">
        <v>0.161</v>
      </c>
      <c r="K87" s="4">
        <v>0.14199999999999999</v>
      </c>
      <c r="L87" s="4">
        <v>0.27900000000000003</v>
      </c>
      <c r="M87" s="7">
        <v>0.249</v>
      </c>
      <c r="N87" s="4">
        <v>0.38100000000000001</v>
      </c>
      <c r="O87" s="4">
        <v>0.39</v>
      </c>
      <c r="P87" s="4">
        <v>0.34699999999999998</v>
      </c>
      <c r="Q87" s="4">
        <v>0.34799999999999998</v>
      </c>
      <c r="R87" s="4">
        <v>121</v>
      </c>
      <c r="S87" s="7">
        <v>-2</v>
      </c>
      <c r="T87" s="7">
        <v>8.9</v>
      </c>
      <c r="U87" s="4">
        <v>-7.6</v>
      </c>
      <c r="V87" s="4">
        <v>1.5</v>
      </c>
    </row>
    <row r="88" spans="1:22" ht="17" thickBot="1" x14ac:dyDescent="0.25">
      <c r="A88" s="8" t="s">
        <v>138</v>
      </c>
      <c r="B88" s="8" t="s">
        <v>80</v>
      </c>
      <c r="C88" s="4">
        <v>91</v>
      </c>
      <c r="D88" s="4">
        <v>353</v>
      </c>
      <c r="E88" s="4">
        <v>7</v>
      </c>
      <c r="F88" s="4">
        <v>37</v>
      </c>
      <c r="G88" s="4">
        <v>42</v>
      </c>
      <c r="H88" s="4">
        <v>17</v>
      </c>
      <c r="I88" s="5">
        <v>7.3999999999999996E-2</v>
      </c>
      <c r="J88" s="6">
        <v>0.17299999999999999</v>
      </c>
      <c r="K88" s="4">
        <v>0.14299999999999999</v>
      </c>
      <c r="L88" s="4">
        <v>0.28599999999999998</v>
      </c>
      <c r="M88" s="7">
        <v>0.249</v>
      </c>
      <c r="N88" s="4">
        <v>0.308</v>
      </c>
      <c r="O88" s="4">
        <v>0.39300000000000002</v>
      </c>
      <c r="P88" s="4">
        <v>0.308</v>
      </c>
      <c r="Q88" s="4">
        <v>0.32</v>
      </c>
      <c r="R88" s="4">
        <v>91</v>
      </c>
      <c r="S88" s="7">
        <v>4.9000000000000004</v>
      </c>
      <c r="T88" s="7">
        <v>1.1000000000000001</v>
      </c>
      <c r="U88" s="4">
        <v>2</v>
      </c>
      <c r="V88" s="4">
        <v>1.5</v>
      </c>
    </row>
    <row r="89" spans="1:22" ht="17" thickBot="1" x14ac:dyDescent="0.25">
      <c r="A89" s="8" t="s">
        <v>139</v>
      </c>
      <c r="B89" s="8" t="s">
        <v>55</v>
      </c>
      <c r="C89" s="4">
        <v>84</v>
      </c>
      <c r="D89" s="4">
        <v>347</v>
      </c>
      <c r="E89" s="4">
        <v>14</v>
      </c>
      <c r="F89" s="4">
        <v>43</v>
      </c>
      <c r="G89" s="4">
        <v>42</v>
      </c>
      <c r="H89" s="4">
        <v>1</v>
      </c>
      <c r="I89" s="5">
        <v>0.13</v>
      </c>
      <c r="J89" s="6">
        <v>0.17599999999999999</v>
      </c>
      <c r="K89" s="4">
        <v>0.224</v>
      </c>
      <c r="L89" s="4">
        <v>0.25800000000000001</v>
      </c>
      <c r="M89" s="7">
        <v>0.24099999999999999</v>
      </c>
      <c r="N89" s="4">
        <v>0.34300000000000003</v>
      </c>
      <c r="O89" s="4">
        <v>0.46500000000000002</v>
      </c>
      <c r="P89" s="4">
        <v>0.34799999999999998</v>
      </c>
      <c r="Q89" s="4">
        <v>0.34300000000000003</v>
      </c>
      <c r="R89" s="4">
        <v>120</v>
      </c>
      <c r="S89" s="7">
        <v>-1</v>
      </c>
      <c r="T89" s="7">
        <v>7.2</v>
      </c>
      <c r="U89" s="4">
        <v>-5.3</v>
      </c>
      <c r="V89" s="4">
        <v>1.4</v>
      </c>
    </row>
    <row r="90" spans="1:22" ht="17" thickBot="1" x14ac:dyDescent="0.25">
      <c r="A90" s="8" t="s">
        <v>140</v>
      </c>
      <c r="B90" s="8" t="s">
        <v>95</v>
      </c>
      <c r="C90" s="4">
        <v>91</v>
      </c>
      <c r="D90" s="4">
        <v>313</v>
      </c>
      <c r="E90" s="4">
        <v>7</v>
      </c>
      <c r="F90" s="4">
        <v>25</v>
      </c>
      <c r="G90" s="4">
        <v>38</v>
      </c>
      <c r="H90" s="4">
        <v>10</v>
      </c>
      <c r="I90" s="5">
        <v>3.5000000000000003E-2</v>
      </c>
      <c r="J90" s="6">
        <v>0.192</v>
      </c>
      <c r="K90" s="4">
        <v>0.13100000000000001</v>
      </c>
      <c r="L90" s="4">
        <v>0.26700000000000002</v>
      </c>
      <c r="M90" s="7">
        <v>0.23200000000000001</v>
      </c>
      <c r="N90" s="4">
        <v>0.27700000000000002</v>
      </c>
      <c r="O90" s="4">
        <v>0.36299999999999999</v>
      </c>
      <c r="P90" s="4">
        <v>0.28100000000000003</v>
      </c>
      <c r="Q90" s="4">
        <v>0.26500000000000001</v>
      </c>
      <c r="R90" s="4">
        <v>77</v>
      </c>
      <c r="S90" s="7">
        <v>0.8</v>
      </c>
      <c r="T90" s="7">
        <v>-7.6</v>
      </c>
      <c r="U90" s="4">
        <v>10.7</v>
      </c>
      <c r="V90" s="4">
        <v>1.4</v>
      </c>
    </row>
    <row r="91" spans="1:22" ht="17" thickBot="1" x14ac:dyDescent="0.25">
      <c r="A91" s="8" t="s">
        <v>141</v>
      </c>
      <c r="B91" s="8" t="s">
        <v>46</v>
      </c>
      <c r="C91" s="4">
        <v>75</v>
      </c>
      <c r="D91" s="4">
        <v>304</v>
      </c>
      <c r="E91" s="4">
        <v>6</v>
      </c>
      <c r="F91" s="4">
        <v>48</v>
      </c>
      <c r="G91" s="4">
        <v>27</v>
      </c>
      <c r="H91" s="4">
        <v>13</v>
      </c>
      <c r="I91" s="5">
        <v>7.1999999999999995E-2</v>
      </c>
      <c r="J91" s="6">
        <v>0.151</v>
      </c>
      <c r="K91" s="4">
        <v>0.13</v>
      </c>
      <c r="L91" s="4">
        <v>0.32900000000000001</v>
      </c>
      <c r="M91" s="7">
        <v>0.28699999999999998</v>
      </c>
      <c r="N91" s="4">
        <v>0.38100000000000001</v>
      </c>
      <c r="O91" s="4">
        <v>0.41799999999999998</v>
      </c>
      <c r="P91" s="4">
        <v>0.35799999999999998</v>
      </c>
      <c r="Q91" s="4">
        <v>0.36499999999999999</v>
      </c>
      <c r="R91" s="4">
        <v>129</v>
      </c>
      <c r="S91" s="7">
        <v>0.6</v>
      </c>
      <c r="T91" s="7">
        <v>11</v>
      </c>
      <c r="U91" s="4">
        <v>-7.6</v>
      </c>
      <c r="V91" s="4">
        <v>1.4</v>
      </c>
    </row>
    <row r="92" spans="1:22" ht="17" thickBot="1" x14ac:dyDescent="0.25">
      <c r="A92" s="8" t="s">
        <v>142</v>
      </c>
      <c r="B92" s="8" t="s">
        <v>25</v>
      </c>
      <c r="C92" s="4">
        <v>90</v>
      </c>
      <c r="D92" s="4">
        <v>349</v>
      </c>
      <c r="E92" s="4">
        <v>15</v>
      </c>
      <c r="F92" s="4">
        <v>44</v>
      </c>
      <c r="G92" s="4">
        <v>35</v>
      </c>
      <c r="H92" s="4">
        <v>3</v>
      </c>
      <c r="I92" s="5">
        <v>7.1999999999999995E-2</v>
      </c>
      <c r="J92" s="6">
        <v>0.29199999999999998</v>
      </c>
      <c r="K92" s="4">
        <v>0.20100000000000001</v>
      </c>
      <c r="L92" s="4">
        <v>0.33500000000000002</v>
      </c>
      <c r="M92" s="7">
        <v>0.26</v>
      </c>
      <c r="N92" s="4">
        <v>0.32100000000000001</v>
      </c>
      <c r="O92" s="4">
        <v>0.46100000000000002</v>
      </c>
      <c r="P92" s="4">
        <v>0.33900000000000002</v>
      </c>
      <c r="Q92" s="4">
        <v>0.35799999999999998</v>
      </c>
      <c r="R92" s="4">
        <v>114</v>
      </c>
      <c r="S92" s="7">
        <v>0.9</v>
      </c>
      <c r="T92" s="7">
        <v>6.6</v>
      </c>
      <c r="U92" s="4">
        <v>-4.8</v>
      </c>
      <c r="V92" s="4">
        <v>1.4</v>
      </c>
    </row>
    <row r="93" spans="1:22" ht="17" thickBot="1" x14ac:dyDescent="0.25">
      <c r="A93" s="8" t="s">
        <v>143</v>
      </c>
      <c r="B93" s="8" t="s">
        <v>53</v>
      </c>
      <c r="C93" s="4">
        <v>90</v>
      </c>
      <c r="D93" s="4">
        <v>347</v>
      </c>
      <c r="E93" s="4">
        <v>12</v>
      </c>
      <c r="F93" s="4">
        <v>45</v>
      </c>
      <c r="G93" s="4">
        <v>40</v>
      </c>
      <c r="H93" s="4">
        <v>3</v>
      </c>
      <c r="I93" s="5">
        <v>8.4000000000000005E-2</v>
      </c>
      <c r="J93" s="6">
        <v>0.21299999999999999</v>
      </c>
      <c r="K93" s="4">
        <v>0.17199999999999999</v>
      </c>
      <c r="L93" s="4">
        <v>0.27900000000000003</v>
      </c>
      <c r="M93" s="7">
        <v>0.24299999999999999</v>
      </c>
      <c r="N93" s="4">
        <v>0.317</v>
      </c>
      <c r="O93" s="4">
        <v>0.41399999999999998</v>
      </c>
      <c r="P93" s="4">
        <v>0.31900000000000001</v>
      </c>
      <c r="Q93" s="4">
        <v>0.29399999999999998</v>
      </c>
      <c r="R93" s="4">
        <v>100</v>
      </c>
      <c r="S93" s="7">
        <v>-1.2</v>
      </c>
      <c r="T93" s="7">
        <v>-1.4</v>
      </c>
      <c r="U93" s="4">
        <v>4.3</v>
      </c>
      <c r="V93" s="4">
        <v>1.4</v>
      </c>
    </row>
    <row r="94" spans="1:22" ht="17" thickBot="1" x14ac:dyDescent="0.25">
      <c r="A94" s="8" t="s">
        <v>144</v>
      </c>
      <c r="B94" s="8" t="s">
        <v>38</v>
      </c>
      <c r="C94" s="4">
        <v>87</v>
      </c>
      <c r="D94" s="4">
        <v>357</v>
      </c>
      <c r="E94" s="4">
        <v>4</v>
      </c>
      <c r="F94" s="4">
        <v>39</v>
      </c>
      <c r="G94" s="4">
        <v>38</v>
      </c>
      <c r="H94" s="4">
        <v>7</v>
      </c>
      <c r="I94" s="5">
        <v>8.1000000000000003E-2</v>
      </c>
      <c r="J94" s="6">
        <v>0.19600000000000001</v>
      </c>
      <c r="K94" s="4">
        <v>8.7999999999999995E-2</v>
      </c>
      <c r="L94" s="4">
        <v>0.29399999999999998</v>
      </c>
      <c r="M94" s="7">
        <v>0.24299999999999999</v>
      </c>
      <c r="N94" s="4">
        <v>0.314</v>
      </c>
      <c r="O94" s="4">
        <v>0.33100000000000002</v>
      </c>
      <c r="P94" s="4">
        <v>0.28999999999999998</v>
      </c>
      <c r="Q94" s="4">
        <v>0.29599999999999999</v>
      </c>
      <c r="R94" s="4">
        <v>83</v>
      </c>
      <c r="S94" s="7">
        <v>0.8</v>
      </c>
      <c r="T94" s="7">
        <v>-6.4</v>
      </c>
      <c r="U94" s="4">
        <v>9</v>
      </c>
      <c r="V94" s="4">
        <v>1.4</v>
      </c>
    </row>
    <row r="95" spans="1:22" ht="17" thickBot="1" x14ac:dyDescent="0.25">
      <c r="A95" s="8" t="s">
        <v>145</v>
      </c>
      <c r="B95" s="8" t="s">
        <v>25</v>
      </c>
      <c r="C95" s="4">
        <v>89</v>
      </c>
      <c r="D95" s="4">
        <v>346</v>
      </c>
      <c r="E95" s="4">
        <v>13</v>
      </c>
      <c r="F95" s="4">
        <v>41</v>
      </c>
      <c r="G95" s="4">
        <v>49</v>
      </c>
      <c r="H95" s="4">
        <v>1</v>
      </c>
      <c r="I95" s="5">
        <v>0.09</v>
      </c>
      <c r="J95" s="6">
        <v>0.29199999999999998</v>
      </c>
      <c r="K95" s="4">
        <v>0.184</v>
      </c>
      <c r="L95" s="4">
        <v>0.3</v>
      </c>
      <c r="M95" s="7">
        <v>0.23599999999999999</v>
      </c>
      <c r="N95" s="4">
        <v>0.30299999999999999</v>
      </c>
      <c r="O95" s="4">
        <v>0.42099999999999999</v>
      </c>
      <c r="P95" s="4">
        <v>0.314</v>
      </c>
      <c r="Q95" s="4">
        <v>0.28799999999999998</v>
      </c>
      <c r="R95" s="4">
        <v>96</v>
      </c>
      <c r="S95" s="7">
        <v>0</v>
      </c>
      <c r="T95" s="7">
        <v>-1.5</v>
      </c>
      <c r="U95" s="4">
        <v>2.9</v>
      </c>
      <c r="V95" s="4">
        <v>1.4</v>
      </c>
    </row>
    <row r="96" spans="1:22" ht="17" thickBot="1" x14ac:dyDescent="0.25">
      <c r="A96" s="8" t="s">
        <v>146</v>
      </c>
      <c r="B96" s="8" t="s">
        <v>66</v>
      </c>
      <c r="C96" s="4">
        <v>87</v>
      </c>
      <c r="D96" s="4">
        <v>317</v>
      </c>
      <c r="E96" s="4">
        <v>9</v>
      </c>
      <c r="F96" s="4">
        <v>38</v>
      </c>
      <c r="G96" s="4">
        <v>39</v>
      </c>
      <c r="H96" s="4">
        <v>10</v>
      </c>
      <c r="I96" s="5">
        <v>6.9000000000000006E-2</v>
      </c>
      <c r="J96" s="6">
        <v>0.13900000000000001</v>
      </c>
      <c r="K96" s="4">
        <v>0.16500000000000001</v>
      </c>
      <c r="L96" s="4">
        <v>0.23899999999999999</v>
      </c>
      <c r="M96" s="7">
        <v>0.22800000000000001</v>
      </c>
      <c r="N96" s="4">
        <v>0.29299999999999998</v>
      </c>
      <c r="O96" s="4">
        <v>0.39300000000000002</v>
      </c>
      <c r="P96" s="4">
        <v>0.30099999999999999</v>
      </c>
      <c r="Q96" s="4">
        <v>0.28699999999999998</v>
      </c>
      <c r="R96" s="4">
        <v>86</v>
      </c>
      <c r="S96" s="7">
        <v>2.1</v>
      </c>
      <c r="T96" s="7">
        <v>-3</v>
      </c>
      <c r="U96" s="4">
        <v>5.3</v>
      </c>
      <c r="V96" s="4">
        <v>1.4</v>
      </c>
    </row>
    <row r="97" spans="1:22" ht="17" thickBot="1" x14ac:dyDescent="0.25">
      <c r="A97" s="8" t="s">
        <v>147</v>
      </c>
      <c r="B97" s="8" t="s">
        <v>71</v>
      </c>
      <c r="C97" s="4">
        <v>72</v>
      </c>
      <c r="D97" s="4">
        <v>319</v>
      </c>
      <c r="E97" s="4">
        <v>15</v>
      </c>
      <c r="F97" s="4">
        <v>49</v>
      </c>
      <c r="G97" s="4">
        <v>46</v>
      </c>
      <c r="H97" s="4">
        <v>1</v>
      </c>
      <c r="I97" s="5">
        <v>0.1</v>
      </c>
      <c r="J97" s="6">
        <v>0.223</v>
      </c>
      <c r="K97" s="4">
        <v>0.183</v>
      </c>
      <c r="L97" s="4">
        <v>0.28899999999999998</v>
      </c>
      <c r="M97" s="7">
        <v>0.254</v>
      </c>
      <c r="N97" s="4">
        <v>0.34499999999999997</v>
      </c>
      <c r="O97" s="4">
        <v>0.437</v>
      </c>
      <c r="P97" s="4">
        <v>0.34399999999999997</v>
      </c>
      <c r="Q97" s="4">
        <v>0.373</v>
      </c>
      <c r="R97" s="4">
        <v>117</v>
      </c>
      <c r="S97" s="7">
        <v>-0.9</v>
      </c>
      <c r="T97" s="7">
        <v>5.6</v>
      </c>
      <c r="U97" s="4">
        <v>-2.4</v>
      </c>
      <c r="V97" s="4">
        <v>1.4</v>
      </c>
    </row>
    <row r="98" spans="1:22" ht="17" thickBot="1" x14ac:dyDescent="0.25">
      <c r="A98" s="8" t="s">
        <v>148</v>
      </c>
      <c r="B98" s="8" t="s">
        <v>115</v>
      </c>
      <c r="C98" s="4">
        <v>93</v>
      </c>
      <c r="D98" s="4">
        <v>390</v>
      </c>
      <c r="E98" s="4">
        <v>19</v>
      </c>
      <c r="F98" s="4">
        <v>46</v>
      </c>
      <c r="G98" s="4">
        <v>55</v>
      </c>
      <c r="H98" s="4">
        <v>2</v>
      </c>
      <c r="I98" s="5">
        <v>0.113</v>
      </c>
      <c r="J98" s="6">
        <v>0.223</v>
      </c>
      <c r="K98" s="4">
        <v>0.215</v>
      </c>
      <c r="L98" s="4">
        <v>0.20899999999999999</v>
      </c>
      <c r="M98" s="7">
        <v>0.20300000000000001</v>
      </c>
      <c r="N98" s="4">
        <v>0.28999999999999998</v>
      </c>
      <c r="O98" s="4">
        <v>0.41799999999999998</v>
      </c>
      <c r="P98" s="4">
        <v>0.30499999999999999</v>
      </c>
      <c r="Q98" s="4">
        <v>0.317</v>
      </c>
      <c r="R98" s="4">
        <v>95</v>
      </c>
      <c r="S98" s="7">
        <v>-2.5</v>
      </c>
      <c r="T98" s="7">
        <v>-4.9000000000000004</v>
      </c>
      <c r="U98" s="4">
        <v>5.6</v>
      </c>
      <c r="V98" s="4">
        <v>1.4</v>
      </c>
    </row>
    <row r="99" spans="1:22" ht="17" thickBot="1" x14ac:dyDescent="0.25">
      <c r="A99" s="8" t="s">
        <v>149</v>
      </c>
      <c r="B99" s="8" t="s">
        <v>63</v>
      </c>
      <c r="C99" s="4">
        <v>93</v>
      </c>
      <c r="D99" s="4">
        <v>373</v>
      </c>
      <c r="E99" s="4">
        <v>14</v>
      </c>
      <c r="F99" s="4">
        <v>44</v>
      </c>
      <c r="G99" s="4">
        <v>51</v>
      </c>
      <c r="H99" s="4">
        <v>6</v>
      </c>
      <c r="I99" s="5">
        <v>7.4999999999999997E-2</v>
      </c>
      <c r="J99" s="6">
        <v>0.161</v>
      </c>
      <c r="K99" s="4">
        <v>0.17899999999999999</v>
      </c>
      <c r="L99" s="4">
        <v>0.26500000000000001</v>
      </c>
      <c r="M99" s="7">
        <v>0.249</v>
      </c>
      <c r="N99" s="4">
        <v>0.309</v>
      </c>
      <c r="O99" s="4">
        <v>0.42799999999999999</v>
      </c>
      <c r="P99" s="4">
        <v>0.32200000000000001</v>
      </c>
      <c r="Q99" s="4">
        <v>0.27800000000000002</v>
      </c>
      <c r="R99" s="4">
        <v>104</v>
      </c>
      <c r="S99" s="7">
        <v>-0.1</v>
      </c>
      <c r="T99" s="7">
        <v>1.7</v>
      </c>
      <c r="U99" s="4">
        <v>-1.7</v>
      </c>
      <c r="V99" s="4">
        <v>1.3</v>
      </c>
    </row>
    <row r="100" spans="1:22" ht="17" thickBot="1" x14ac:dyDescent="0.25">
      <c r="A100" s="8" t="s">
        <v>150</v>
      </c>
      <c r="B100" s="8" t="s">
        <v>36</v>
      </c>
      <c r="C100" s="4">
        <v>84</v>
      </c>
      <c r="D100" s="4">
        <v>352</v>
      </c>
      <c r="E100" s="4">
        <v>7</v>
      </c>
      <c r="F100" s="4">
        <v>35</v>
      </c>
      <c r="G100" s="4">
        <v>42</v>
      </c>
      <c r="H100" s="4">
        <v>0</v>
      </c>
      <c r="I100" s="5">
        <v>0.105</v>
      </c>
      <c r="J100" s="6">
        <v>0.23</v>
      </c>
      <c r="K100" s="4">
        <v>0.13400000000000001</v>
      </c>
      <c r="L100" s="4">
        <v>0.29299999999999998</v>
      </c>
      <c r="M100" s="7">
        <v>0.23499999999999999</v>
      </c>
      <c r="N100" s="4">
        <v>0.32400000000000001</v>
      </c>
      <c r="O100" s="4">
        <v>0.36799999999999999</v>
      </c>
      <c r="P100" s="4">
        <v>0.309</v>
      </c>
      <c r="Q100" s="4">
        <v>0.28599999999999998</v>
      </c>
      <c r="R100" s="4">
        <v>96</v>
      </c>
      <c r="S100" s="7">
        <v>-1.2</v>
      </c>
      <c r="T100" s="7">
        <v>-3</v>
      </c>
      <c r="U100" s="4">
        <v>4.7</v>
      </c>
      <c r="V100" s="4">
        <v>1.3</v>
      </c>
    </row>
    <row r="101" spans="1:22" ht="17" thickBot="1" x14ac:dyDescent="0.25">
      <c r="A101" s="8" t="s">
        <v>151</v>
      </c>
      <c r="B101" s="8" t="s">
        <v>76</v>
      </c>
      <c r="C101" s="4">
        <v>90</v>
      </c>
      <c r="D101" s="4">
        <v>384</v>
      </c>
      <c r="E101" s="4">
        <v>9</v>
      </c>
      <c r="F101" s="4">
        <v>38</v>
      </c>
      <c r="G101" s="4">
        <v>34</v>
      </c>
      <c r="H101" s="4">
        <v>4</v>
      </c>
      <c r="I101" s="5">
        <v>7.8E-2</v>
      </c>
      <c r="J101" s="6">
        <v>0.21099999999999999</v>
      </c>
      <c r="K101" s="4">
        <v>0.16200000000000001</v>
      </c>
      <c r="L101" s="4">
        <v>0.318</v>
      </c>
      <c r="M101" s="7">
        <v>0.26300000000000001</v>
      </c>
      <c r="N101" s="4">
        <v>0.33100000000000002</v>
      </c>
      <c r="O101" s="4">
        <v>0.42499999999999999</v>
      </c>
      <c r="P101" s="4">
        <v>0.33</v>
      </c>
      <c r="Q101" s="4">
        <v>0.38100000000000001</v>
      </c>
      <c r="R101" s="4">
        <v>112</v>
      </c>
      <c r="S101" s="7">
        <v>0</v>
      </c>
      <c r="T101" s="7">
        <v>5.5</v>
      </c>
      <c r="U101" s="4">
        <v>-6.2</v>
      </c>
      <c r="V101" s="4">
        <v>1.3</v>
      </c>
    </row>
    <row r="102" spans="1:22" ht="17" thickBot="1" x14ac:dyDescent="0.25">
      <c r="A102" s="8" t="s">
        <v>152</v>
      </c>
      <c r="B102" s="8" t="s">
        <v>36</v>
      </c>
      <c r="C102" s="4">
        <v>96</v>
      </c>
      <c r="D102" s="4">
        <v>407</v>
      </c>
      <c r="E102" s="4">
        <v>19</v>
      </c>
      <c r="F102" s="4">
        <v>49</v>
      </c>
      <c r="G102" s="4">
        <v>52</v>
      </c>
      <c r="H102" s="4">
        <v>0</v>
      </c>
      <c r="I102" s="5">
        <v>9.2999999999999999E-2</v>
      </c>
      <c r="J102" s="6">
        <v>0.27300000000000002</v>
      </c>
      <c r="K102" s="4">
        <v>0.23</v>
      </c>
      <c r="L102" s="4">
        <v>0.30299999999999999</v>
      </c>
      <c r="M102" s="7">
        <v>0.249</v>
      </c>
      <c r="N102" s="4">
        <v>0.31900000000000001</v>
      </c>
      <c r="O102" s="4">
        <v>0.47899999999999998</v>
      </c>
      <c r="P102" s="4">
        <v>0.34200000000000003</v>
      </c>
      <c r="Q102" s="4">
        <v>0.32700000000000001</v>
      </c>
      <c r="R102" s="4">
        <v>118</v>
      </c>
      <c r="S102" s="7">
        <v>-1.1000000000000001</v>
      </c>
      <c r="T102" s="7">
        <v>7.8</v>
      </c>
      <c r="U102" s="4">
        <v>-8.1999999999999993</v>
      </c>
      <c r="V102" s="4">
        <v>1.3</v>
      </c>
    </row>
    <row r="103" spans="1:22" ht="17" thickBot="1" x14ac:dyDescent="0.25">
      <c r="A103" s="8" t="s">
        <v>153</v>
      </c>
      <c r="B103" s="8" t="s">
        <v>95</v>
      </c>
      <c r="C103" s="4">
        <v>93</v>
      </c>
      <c r="D103" s="4">
        <v>374</v>
      </c>
      <c r="E103" s="4">
        <v>8</v>
      </c>
      <c r="F103" s="4">
        <v>42</v>
      </c>
      <c r="G103" s="4">
        <v>32</v>
      </c>
      <c r="H103" s="4">
        <v>3</v>
      </c>
      <c r="I103" s="5">
        <v>3.5000000000000003E-2</v>
      </c>
      <c r="J103" s="6">
        <v>9.4E-2</v>
      </c>
      <c r="K103" s="4">
        <v>0.13700000000000001</v>
      </c>
      <c r="L103" s="4">
        <v>0.308</v>
      </c>
      <c r="M103" s="7">
        <v>0.29599999999999999</v>
      </c>
      <c r="N103" s="4">
        <v>0.318</v>
      </c>
      <c r="O103" s="4">
        <v>0.433</v>
      </c>
      <c r="P103" s="4">
        <v>0.32600000000000001</v>
      </c>
      <c r="Q103" s="4">
        <v>0.27500000000000002</v>
      </c>
      <c r="R103" s="4">
        <v>108</v>
      </c>
      <c r="S103" s="7">
        <v>-1</v>
      </c>
      <c r="T103" s="7">
        <v>2.5</v>
      </c>
      <c r="U103" s="4">
        <v>-3.7</v>
      </c>
      <c r="V103" s="4">
        <v>1.2</v>
      </c>
    </row>
    <row r="104" spans="1:22" ht="17" thickBot="1" x14ac:dyDescent="0.25">
      <c r="A104" s="8" t="s">
        <v>154</v>
      </c>
      <c r="B104" s="8" t="s">
        <v>23</v>
      </c>
      <c r="C104" s="4">
        <v>94</v>
      </c>
      <c r="D104" s="4">
        <v>420</v>
      </c>
      <c r="E104" s="4">
        <v>4</v>
      </c>
      <c r="F104" s="4">
        <v>37</v>
      </c>
      <c r="G104" s="4">
        <v>38</v>
      </c>
      <c r="H104" s="4">
        <v>14</v>
      </c>
      <c r="I104" s="5">
        <v>8.5999999999999993E-2</v>
      </c>
      <c r="J104" s="6">
        <v>7.9000000000000001E-2</v>
      </c>
      <c r="K104" s="4">
        <v>9.4E-2</v>
      </c>
      <c r="L104" s="4">
        <v>0.24299999999999999</v>
      </c>
      <c r="M104" s="7">
        <v>0.23300000000000001</v>
      </c>
      <c r="N104" s="4">
        <v>0.30499999999999999</v>
      </c>
      <c r="O104" s="4">
        <v>0.32600000000000001</v>
      </c>
      <c r="P104" s="4">
        <v>0.28399999999999997</v>
      </c>
      <c r="Q104" s="4">
        <v>0.31900000000000001</v>
      </c>
      <c r="R104" s="4">
        <v>79</v>
      </c>
      <c r="S104" s="7">
        <v>1.8</v>
      </c>
      <c r="T104" s="7">
        <v>-9</v>
      </c>
      <c r="U104" s="4">
        <v>7.4</v>
      </c>
      <c r="V104" s="4">
        <v>1.2</v>
      </c>
    </row>
    <row r="105" spans="1:22" ht="17" thickBot="1" x14ac:dyDescent="0.25">
      <c r="A105" s="8" t="s">
        <v>155</v>
      </c>
      <c r="B105" s="8" t="s">
        <v>44</v>
      </c>
      <c r="C105" s="4">
        <v>89</v>
      </c>
      <c r="D105" s="4">
        <v>355</v>
      </c>
      <c r="E105" s="4">
        <v>0</v>
      </c>
      <c r="F105" s="4">
        <v>39</v>
      </c>
      <c r="G105" s="4">
        <v>17</v>
      </c>
      <c r="H105" s="4">
        <v>22</v>
      </c>
      <c r="I105" s="5">
        <v>5.0999999999999997E-2</v>
      </c>
      <c r="J105" s="6">
        <v>9.2999999999999999E-2</v>
      </c>
      <c r="K105" s="4">
        <v>6.0999999999999999E-2</v>
      </c>
      <c r="L105" s="4">
        <v>0.308</v>
      </c>
      <c r="M105" s="7">
        <v>0.27900000000000003</v>
      </c>
      <c r="N105" s="4">
        <v>0.314</v>
      </c>
      <c r="O105" s="4">
        <v>0.33900000000000002</v>
      </c>
      <c r="P105" s="4">
        <v>0.28999999999999998</v>
      </c>
      <c r="Q105" s="4">
        <v>0.26300000000000001</v>
      </c>
      <c r="R105" s="4">
        <v>82</v>
      </c>
      <c r="S105" s="7">
        <v>3</v>
      </c>
      <c r="T105" s="7">
        <v>-4.5</v>
      </c>
      <c r="U105" s="4">
        <v>3.8</v>
      </c>
      <c r="V105" s="4">
        <v>1.2</v>
      </c>
    </row>
    <row r="106" spans="1:22" ht="17" thickBot="1" x14ac:dyDescent="0.25">
      <c r="A106" s="8" t="s">
        <v>156</v>
      </c>
      <c r="B106" s="8" t="s">
        <v>29</v>
      </c>
      <c r="C106" s="4">
        <v>96</v>
      </c>
      <c r="D106" s="4">
        <v>361</v>
      </c>
      <c r="E106" s="4">
        <v>12</v>
      </c>
      <c r="F106" s="4">
        <v>39</v>
      </c>
      <c r="G106" s="4">
        <v>34</v>
      </c>
      <c r="H106" s="4">
        <v>9</v>
      </c>
      <c r="I106" s="5">
        <v>8.5999999999999993E-2</v>
      </c>
      <c r="J106" s="6">
        <v>0.23499999999999999</v>
      </c>
      <c r="K106" s="4">
        <v>0.159</v>
      </c>
      <c r="L106" s="4">
        <v>0.254</v>
      </c>
      <c r="M106" s="7">
        <v>0.218</v>
      </c>
      <c r="N106" s="4">
        <v>0.29199999999999998</v>
      </c>
      <c r="O106" s="4">
        <v>0.377</v>
      </c>
      <c r="P106" s="4">
        <v>0.29499999999999998</v>
      </c>
      <c r="Q106" s="4">
        <v>0.34</v>
      </c>
      <c r="R106" s="4">
        <v>87</v>
      </c>
      <c r="S106" s="7">
        <v>2.8</v>
      </c>
      <c r="T106" s="7">
        <v>-2.8</v>
      </c>
      <c r="U106" s="4">
        <v>1.7</v>
      </c>
      <c r="V106" s="4">
        <v>1.2</v>
      </c>
    </row>
    <row r="107" spans="1:22" ht="17" thickBot="1" x14ac:dyDescent="0.25">
      <c r="A107" s="8" t="s">
        <v>157</v>
      </c>
      <c r="B107" s="8" t="s">
        <v>31</v>
      </c>
      <c r="C107" s="4">
        <v>72</v>
      </c>
      <c r="D107" s="4">
        <v>305</v>
      </c>
      <c r="E107" s="4">
        <v>12</v>
      </c>
      <c r="F107" s="4">
        <v>36</v>
      </c>
      <c r="G107" s="4">
        <v>42</v>
      </c>
      <c r="H107" s="4">
        <v>1</v>
      </c>
      <c r="I107" s="5">
        <v>9.1999999999999998E-2</v>
      </c>
      <c r="J107" s="6">
        <v>0.315</v>
      </c>
      <c r="K107" s="4">
        <v>0.216</v>
      </c>
      <c r="L107" s="4">
        <v>0.32100000000000001</v>
      </c>
      <c r="M107" s="7">
        <v>0.23899999999999999</v>
      </c>
      <c r="N107" s="4">
        <v>0.32200000000000001</v>
      </c>
      <c r="O107" s="4">
        <v>0.45500000000000002</v>
      </c>
      <c r="P107" s="4">
        <v>0.33600000000000002</v>
      </c>
      <c r="Q107" s="4">
        <v>0.33200000000000002</v>
      </c>
      <c r="R107" s="4">
        <v>110</v>
      </c>
      <c r="S107" s="7">
        <v>0.4</v>
      </c>
      <c r="T107" s="7">
        <v>4.0999999999999996</v>
      </c>
      <c r="U107" s="4">
        <v>-2.4</v>
      </c>
      <c r="V107" s="4">
        <v>1.2</v>
      </c>
    </row>
    <row r="108" spans="1:22" ht="17" thickBot="1" x14ac:dyDescent="0.25">
      <c r="A108" s="8" t="s">
        <v>158</v>
      </c>
      <c r="B108" s="8" t="s">
        <v>57</v>
      </c>
      <c r="C108" s="4">
        <v>82</v>
      </c>
      <c r="D108" s="4">
        <v>339</v>
      </c>
      <c r="E108" s="4">
        <v>16</v>
      </c>
      <c r="F108" s="4">
        <v>49</v>
      </c>
      <c r="G108" s="4">
        <v>63</v>
      </c>
      <c r="H108" s="4">
        <v>1</v>
      </c>
      <c r="I108" s="5">
        <v>7.6999999999999999E-2</v>
      </c>
      <c r="J108" s="6">
        <v>0.218</v>
      </c>
      <c r="K108" s="4">
        <v>0.19900000000000001</v>
      </c>
      <c r="L108" s="4">
        <v>0.33</v>
      </c>
      <c r="M108" s="7">
        <v>0.28799999999999998</v>
      </c>
      <c r="N108" s="4">
        <v>0.35099999999999998</v>
      </c>
      <c r="O108" s="4">
        <v>0.48699999999999999</v>
      </c>
      <c r="P108" s="4">
        <v>0.36299999999999999</v>
      </c>
      <c r="Q108" s="4">
        <v>0.32900000000000001</v>
      </c>
      <c r="R108" s="4">
        <v>128</v>
      </c>
      <c r="S108" s="7">
        <v>-3.3</v>
      </c>
      <c r="T108" s="7">
        <v>8.1999999999999993</v>
      </c>
      <c r="U108" s="4">
        <v>-7.7</v>
      </c>
      <c r="V108" s="4">
        <v>1.2</v>
      </c>
    </row>
    <row r="109" spans="1:22" ht="17" thickBot="1" x14ac:dyDescent="0.25">
      <c r="A109" s="8" t="s">
        <v>159</v>
      </c>
      <c r="B109" s="8" t="s">
        <v>48</v>
      </c>
      <c r="C109" s="4">
        <v>76</v>
      </c>
      <c r="D109" s="4">
        <v>303</v>
      </c>
      <c r="E109" s="4">
        <v>10</v>
      </c>
      <c r="F109" s="4">
        <v>49</v>
      </c>
      <c r="G109" s="4">
        <v>40</v>
      </c>
      <c r="H109" s="4">
        <v>7</v>
      </c>
      <c r="I109" s="5">
        <v>0.13500000000000001</v>
      </c>
      <c r="J109" s="6">
        <v>0.16800000000000001</v>
      </c>
      <c r="K109" s="4">
        <v>0.185</v>
      </c>
      <c r="L109" s="4">
        <v>0.254</v>
      </c>
      <c r="M109" s="7">
        <v>0.23599999999999999</v>
      </c>
      <c r="N109" s="4">
        <v>0.33700000000000002</v>
      </c>
      <c r="O109" s="4">
        <v>0.42099999999999999</v>
      </c>
      <c r="P109" s="4">
        <v>0.33300000000000002</v>
      </c>
      <c r="Q109" s="4">
        <v>0.35699999999999998</v>
      </c>
      <c r="R109" s="4">
        <v>114</v>
      </c>
      <c r="S109" s="7">
        <v>-1.3</v>
      </c>
      <c r="T109" s="7">
        <v>3.7</v>
      </c>
      <c r="U109" s="4">
        <v>-3.1</v>
      </c>
      <c r="V109" s="4">
        <v>1.1000000000000001</v>
      </c>
    </row>
    <row r="110" spans="1:22" ht="17" thickBot="1" x14ac:dyDescent="0.25">
      <c r="A110" s="8" t="s">
        <v>160</v>
      </c>
      <c r="B110" s="8" t="s">
        <v>86</v>
      </c>
      <c r="C110" s="4">
        <v>77</v>
      </c>
      <c r="D110" s="4">
        <v>320</v>
      </c>
      <c r="E110" s="4">
        <v>6</v>
      </c>
      <c r="F110" s="4">
        <v>31</v>
      </c>
      <c r="G110" s="4">
        <v>35</v>
      </c>
      <c r="H110" s="4">
        <v>0</v>
      </c>
      <c r="I110" s="5">
        <v>8.1000000000000003E-2</v>
      </c>
      <c r="J110" s="6">
        <v>0.15</v>
      </c>
      <c r="K110" s="4">
        <v>0.122</v>
      </c>
      <c r="L110" s="4">
        <v>0.311</v>
      </c>
      <c r="M110" s="7">
        <v>0.27500000000000002</v>
      </c>
      <c r="N110" s="4">
        <v>0.34399999999999997</v>
      </c>
      <c r="O110" s="4">
        <v>0.39700000000000002</v>
      </c>
      <c r="P110" s="4">
        <v>0.32900000000000001</v>
      </c>
      <c r="Q110" s="4">
        <v>0.32600000000000001</v>
      </c>
      <c r="R110" s="4">
        <v>109</v>
      </c>
      <c r="S110" s="7">
        <v>-1.1000000000000001</v>
      </c>
      <c r="T110" s="7">
        <v>2.1</v>
      </c>
      <c r="U110" s="4">
        <v>-2.8</v>
      </c>
      <c r="V110" s="4">
        <v>1.1000000000000001</v>
      </c>
    </row>
    <row r="111" spans="1:22" ht="17" thickBot="1" x14ac:dyDescent="0.25">
      <c r="A111" s="8" t="s">
        <v>161</v>
      </c>
      <c r="B111" s="8" t="s">
        <v>95</v>
      </c>
      <c r="C111" s="4">
        <v>83</v>
      </c>
      <c r="D111" s="4">
        <v>308</v>
      </c>
      <c r="E111" s="4">
        <v>7</v>
      </c>
      <c r="F111" s="4">
        <v>36</v>
      </c>
      <c r="G111" s="4">
        <v>24</v>
      </c>
      <c r="H111" s="4">
        <v>9</v>
      </c>
      <c r="I111" s="5">
        <v>8.4000000000000005E-2</v>
      </c>
      <c r="J111" s="6">
        <v>0.19800000000000001</v>
      </c>
      <c r="K111" s="4">
        <v>0.14699999999999999</v>
      </c>
      <c r="L111" s="4">
        <v>0.28299999999999997</v>
      </c>
      <c r="M111" s="7">
        <v>0.24</v>
      </c>
      <c r="N111" s="4">
        <v>0.308</v>
      </c>
      <c r="O111" s="4">
        <v>0.38700000000000001</v>
      </c>
      <c r="P111" s="4">
        <v>0.30499999999999999</v>
      </c>
      <c r="Q111" s="4">
        <v>0.29499999999999998</v>
      </c>
      <c r="R111" s="4">
        <v>94</v>
      </c>
      <c r="S111" s="7">
        <v>1</v>
      </c>
      <c r="T111" s="7">
        <v>-1.3</v>
      </c>
      <c r="U111" s="4">
        <v>0.9</v>
      </c>
      <c r="V111" s="4">
        <v>1.1000000000000001</v>
      </c>
    </row>
    <row r="112" spans="1:22" ht="17" thickBot="1" x14ac:dyDescent="0.25">
      <c r="A112" s="8" t="s">
        <v>162</v>
      </c>
      <c r="B112" s="8" t="s">
        <v>76</v>
      </c>
      <c r="C112" s="4">
        <v>92</v>
      </c>
      <c r="D112" s="4">
        <v>372</v>
      </c>
      <c r="E112" s="4">
        <v>16</v>
      </c>
      <c r="F112" s="4">
        <v>41</v>
      </c>
      <c r="G112" s="4">
        <v>58</v>
      </c>
      <c r="H112" s="4">
        <v>2</v>
      </c>
      <c r="I112" s="5">
        <v>7.8E-2</v>
      </c>
      <c r="J112" s="6">
        <v>0.26300000000000001</v>
      </c>
      <c r="K112" s="4">
        <v>0.183</v>
      </c>
      <c r="L112" s="4">
        <v>0.28799999999999998</v>
      </c>
      <c r="M112" s="7">
        <v>0.24</v>
      </c>
      <c r="N112" s="4">
        <v>0.30399999999999999</v>
      </c>
      <c r="O112" s="4">
        <v>0.42299999999999999</v>
      </c>
      <c r="P112" s="4">
        <v>0.318</v>
      </c>
      <c r="Q112" s="4">
        <v>0.31</v>
      </c>
      <c r="R112" s="4">
        <v>103</v>
      </c>
      <c r="S112" s="7">
        <v>-0.1</v>
      </c>
      <c r="T112" s="7">
        <v>1.3</v>
      </c>
      <c r="U112" s="4">
        <v>-4.5999999999999996</v>
      </c>
      <c r="V112" s="4">
        <v>1</v>
      </c>
    </row>
    <row r="113" spans="1:22" ht="17" thickBot="1" x14ac:dyDescent="0.25">
      <c r="A113" s="8" t="s">
        <v>163</v>
      </c>
      <c r="B113" s="8" t="s">
        <v>92</v>
      </c>
      <c r="C113" s="4">
        <v>83</v>
      </c>
      <c r="D113" s="4">
        <v>301</v>
      </c>
      <c r="E113" s="4">
        <v>16</v>
      </c>
      <c r="F113" s="4">
        <v>34</v>
      </c>
      <c r="G113" s="4">
        <v>46</v>
      </c>
      <c r="H113" s="4">
        <v>0</v>
      </c>
      <c r="I113" s="5">
        <v>8.3000000000000004E-2</v>
      </c>
      <c r="J113" s="6">
        <v>0.25600000000000001</v>
      </c>
      <c r="K113" s="4">
        <v>0.215</v>
      </c>
      <c r="L113" s="4">
        <v>0.28399999999999997</v>
      </c>
      <c r="M113" s="7">
        <v>0.248</v>
      </c>
      <c r="N113" s="4">
        <v>0.309</v>
      </c>
      <c r="O113" s="4">
        <v>0.46400000000000002</v>
      </c>
      <c r="P113" s="4">
        <v>0.33100000000000002</v>
      </c>
      <c r="Q113" s="4">
        <v>0.34</v>
      </c>
      <c r="R113" s="4">
        <v>113</v>
      </c>
      <c r="S113" s="7">
        <v>-1.7</v>
      </c>
      <c r="T113" s="7">
        <v>2.8</v>
      </c>
      <c r="U113" s="4">
        <v>-3.9</v>
      </c>
      <c r="V113" s="4">
        <v>1</v>
      </c>
    </row>
    <row r="114" spans="1:22" ht="17" thickBot="1" x14ac:dyDescent="0.25">
      <c r="A114" s="8" t="s">
        <v>164</v>
      </c>
      <c r="B114" s="8" t="s">
        <v>42</v>
      </c>
      <c r="C114" s="4">
        <v>91</v>
      </c>
      <c r="D114" s="4">
        <v>381</v>
      </c>
      <c r="E114" s="4">
        <v>7</v>
      </c>
      <c r="F114" s="4">
        <v>53</v>
      </c>
      <c r="G114" s="4">
        <v>47</v>
      </c>
      <c r="H114" s="4">
        <v>6</v>
      </c>
      <c r="I114" s="5">
        <v>0.126</v>
      </c>
      <c r="J114" s="6">
        <v>0.19900000000000001</v>
      </c>
      <c r="K114" s="4">
        <v>0.13100000000000001</v>
      </c>
      <c r="L114" s="4">
        <v>0.29399999999999998</v>
      </c>
      <c r="M114" s="7">
        <v>0.24399999999999999</v>
      </c>
      <c r="N114" s="4">
        <v>0.34100000000000003</v>
      </c>
      <c r="O114" s="4">
        <v>0.375</v>
      </c>
      <c r="P114" s="4">
        <v>0.32100000000000001</v>
      </c>
      <c r="Q114" s="4">
        <v>0.33600000000000002</v>
      </c>
      <c r="R114" s="4">
        <v>102</v>
      </c>
      <c r="S114" s="7">
        <v>0.9</v>
      </c>
      <c r="T114" s="7">
        <v>2</v>
      </c>
      <c r="U114" s="4">
        <v>-4.9000000000000004</v>
      </c>
      <c r="V114" s="4">
        <v>1</v>
      </c>
    </row>
    <row r="115" spans="1:22" ht="17" thickBot="1" x14ac:dyDescent="0.25">
      <c r="A115" s="8" t="s">
        <v>165</v>
      </c>
      <c r="B115" s="8" t="s">
        <v>95</v>
      </c>
      <c r="C115" s="4">
        <v>91</v>
      </c>
      <c r="D115" s="4">
        <v>387</v>
      </c>
      <c r="E115" s="4">
        <v>6</v>
      </c>
      <c r="F115" s="4">
        <v>51</v>
      </c>
      <c r="G115" s="4">
        <v>41</v>
      </c>
      <c r="H115" s="4">
        <v>7</v>
      </c>
      <c r="I115" s="5">
        <v>0.109</v>
      </c>
      <c r="J115" s="6">
        <v>0.129</v>
      </c>
      <c r="K115" s="4">
        <v>9.5000000000000001E-2</v>
      </c>
      <c r="L115" s="4">
        <v>0.28799999999999998</v>
      </c>
      <c r="M115" s="7">
        <v>0.26200000000000001</v>
      </c>
      <c r="N115" s="4">
        <v>0.34599999999999997</v>
      </c>
      <c r="O115" s="4">
        <v>0.35699999999999998</v>
      </c>
      <c r="P115" s="4">
        <v>0.312</v>
      </c>
      <c r="Q115" s="4">
        <v>0.34399999999999997</v>
      </c>
      <c r="R115" s="4">
        <v>99</v>
      </c>
      <c r="S115" s="7">
        <v>-0.3</v>
      </c>
      <c r="T115" s="7">
        <v>-1</v>
      </c>
      <c r="U115" s="4">
        <v>-3.4</v>
      </c>
      <c r="V115" s="4">
        <v>1</v>
      </c>
    </row>
    <row r="116" spans="1:22" ht="17" thickBot="1" x14ac:dyDescent="0.25">
      <c r="A116" s="8" t="s">
        <v>166</v>
      </c>
      <c r="B116" s="8" t="s">
        <v>63</v>
      </c>
      <c r="C116" s="4">
        <v>91</v>
      </c>
      <c r="D116" s="4">
        <v>355</v>
      </c>
      <c r="E116" s="4">
        <v>4</v>
      </c>
      <c r="F116" s="4">
        <v>48</v>
      </c>
      <c r="G116" s="4">
        <v>28</v>
      </c>
      <c r="H116" s="4">
        <v>12</v>
      </c>
      <c r="I116" s="5">
        <v>9.6000000000000002E-2</v>
      </c>
      <c r="J116" s="6">
        <v>0.152</v>
      </c>
      <c r="K116" s="4">
        <v>9.1999999999999998E-2</v>
      </c>
      <c r="L116" s="4">
        <v>0.29599999999999999</v>
      </c>
      <c r="M116" s="7">
        <v>0.25800000000000001</v>
      </c>
      <c r="N116" s="4">
        <v>0.34599999999999997</v>
      </c>
      <c r="O116" s="4">
        <v>0.35</v>
      </c>
      <c r="P116" s="4">
        <v>0.314</v>
      </c>
      <c r="Q116" s="4">
        <v>0.29699999999999999</v>
      </c>
      <c r="R116" s="4">
        <v>99</v>
      </c>
      <c r="S116" s="7">
        <v>2.8</v>
      </c>
      <c r="T116" s="7">
        <v>2.2000000000000002</v>
      </c>
      <c r="U116" s="4">
        <v>-5.4</v>
      </c>
      <c r="V116" s="4">
        <v>1</v>
      </c>
    </row>
    <row r="117" spans="1:22" ht="17" thickBot="1" x14ac:dyDescent="0.25">
      <c r="A117" s="8" t="s">
        <v>167</v>
      </c>
      <c r="B117" s="8" t="s">
        <v>61</v>
      </c>
      <c r="C117" s="4">
        <v>89</v>
      </c>
      <c r="D117" s="4">
        <v>354</v>
      </c>
      <c r="E117" s="4">
        <v>1</v>
      </c>
      <c r="F117" s="4">
        <v>37</v>
      </c>
      <c r="G117" s="4">
        <v>16</v>
      </c>
      <c r="H117" s="4">
        <v>6</v>
      </c>
      <c r="I117" s="5">
        <v>0.13</v>
      </c>
      <c r="J117" s="6">
        <v>0.10199999999999999</v>
      </c>
      <c r="K117" s="4">
        <v>5.7000000000000002E-2</v>
      </c>
      <c r="L117" s="4">
        <v>0.251</v>
      </c>
      <c r="M117" s="7">
        <v>0.22500000000000001</v>
      </c>
      <c r="N117" s="4">
        <v>0.33200000000000002</v>
      </c>
      <c r="O117" s="4">
        <v>0.28199999999999997</v>
      </c>
      <c r="P117" s="4">
        <v>0.28599999999999998</v>
      </c>
      <c r="Q117" s="4">
        <v>0.307</v>
      </c>
      <c r="R117" s="4">
        <v>81</v>
      </c>
      <c r="S117" s="7">
        <v>0.7</v>
      </c>
      <c r="T117" s="7">
        <v>-7.1</v>
      </c>
      <c r="U117" s="4">
        <v>3.8</v>
      </c>
      <c r="V117" s="4">
        <v>0.9</v>
      </c>
    </row>
    <row r="118" spans="1:22" ht="17" thickBot="1" x14ac:dyDescent="0.25">
      <c r="A118" s="8" t="s">
        <v>168</v>
      </c>
      <c r="B118" s="8" t="s">
        <v>36</v>
      </c>
      <c r="C118" s="4">
        <v>88</v>
      </c>
      <c r="D118" s="4">
        <v>351</v>
      </c>
      <c r="E118" s="4">
        <v>5</v>
      </c>
      <c r="F118" s="4">
        <v>46</v>
      </c>
      <c r="G118" s="4">
        <v>33</v>
      </c>
      <c r="H118" s="4">
        <v>6</v>
      </c>
      <c r="I118" s="5">
        <v>0.04</v>
      </c>
      <c r="J118" s="6">
        <v>9.7000000000000003E-2</v>
      </c>
      <c r="K118" s="4">
        <v>0.127</v>
      </c>
      <c r="L118" s="4">
        <v>0.32200000000000001</v>
      </c>
      <c r="M118" s="7">
        <v>0.30199999999999999</v>
      </c>
      <c r="N118" s="4">
        <v>0.33300000000000002</v>
      </c>
      <c r="O118" s="4">
        <v>0.42899999999999999</v>
      </c>
      <c r="P118" s="4">
        <v>0.33200000000000002</v>
      </c>
      <c r="Q118" s="4">
        <v>0.313</v>
      </c>
      <c r="R118" s="4">
        <v>112</v>
      </c>
      <c r="S118" s="7">
        <v>0.2</v>
      </c>
      <c r="T118" s="7">
        <v>5.0999999999999996</v>
      </c>
      <c r="U118" s="4">
        <v>-7.4</v>
      </c>
      <c r="V118" s="4">
        <v>0.9</v>
      </c>
    </row>
    <row r="119" spans="1:22" ht="17" thickBot="1" x14ac:dyDescent="0.25">
      <c r="A119" s="8" t="s">
        <v>169</v>
      </c>
      <c r="B119" s="8" t="s">
        <v>59</v>
      </c>
      <c r="C119" s="4">
        <v>96</v>
      </c>
      <c r="D119" s="4">
        <v>413</v>
      </c>
      <c r="E119" s="4">
        <v>10</v>
      </c>
      <c r="F119" s="4">
        <v>48</v>
      </c>
      <c r="G119" s="4">
        <v>51</v>
      </c>
      <c r="H119" s="4">
        <v>1</v>
      </c>
      <c r="I119" s="5">
        <v>6.0999999999999999E-2</v>
      </c>
      <c r="J119" s="6">
        <v>0.17699999999999999</v>
      </c>
      <c r="K119" s="4">
        <v>0.121</v>
      </c>
      <c r="L119" s="4">
        <v>0.28699999999999998</v>
      </c>
      <c r="M119" s="7">
        <v>0.255</v>
      </c>
      <c r="N119" s="4">
        <v>0.3</v>
      </c>
      <c r="O119" s="4">
        <v>0.376</v>
      </c>
      <c r="P119" s="4">
        <v>0.29699999999999999</v>
      </c>
      <c r="Q119" s="4">
        <v>0.33</v>
      </c>
      <c r="R119" s="4">
        <v>89</v>
      </c>
      <c r="S119" s="7">
        <v>-1.6</v>
      </c>
      <c r="T119" s="7">
        <v>-7.2</v>
      </c>
      <c r="U119" s="4">
        <v>2.6</v>
      </c>
      <c r="V119" s="4">
        <v>0.9</v>
      </c>
    </row>
    <row r="120" spans="1:22" ht="17" thickBot="1" x14ac:dyDescent="0.25">
      <c r="A120" s="8" t="s">
        <v>170</v>
      </c>
      <c r="B120" s="8" t="s">
        <v>27</v>
      </c>
      <c r="C120" s="4">
        <v>89</v>
      </c>
      <c r="D120" s="4">
        <v>306</v>
      </c>
      <c r="E120" s="4">
        <v>1</v>
      </c>
      <c r="F120" s="4">
        <v>38</v>
      </c>
      <c r="G120" s="4">
        <v>28</v>
      </c>
      <c r="H120" s="4">
        <v>34</v>
      </c>
      <c r="I120" s="5">
        <v>0.108</v>
      </c>
      <c r="J120" s="6">
        <v>0.23499999999999999</v>
      </c>
      <c r="K120" s="4">
        <v>4.9000000000000002E-2</v>
      </c>
      <c r="L120" s="4">
        <v>0.32600000000000001</v>
      </c>
      <c r="M120" s="7">
        <v>0.24199999999999999</v>
      </c>
      <c r="N120" s="4">
        <v>0.32700000000000001</v>
      </c>
      <c r="O120" s="4">
        <v>0.29099999999999998</v>
      </c>
      <c r="P120" s="4">
        <v>0.28499999999999998</v>
      </c>
      <c r="Q120" s="4">
        <v>0.26900000000000002</v>
      </c>
      <c r="R120" s="4">
        <v>78</v>
      </c>
      <c r="S120" s="7">
        <v>5.3</v>
      </c>
      <c r="T120" s="7">
        <v>-3</v>
      </c>
      <c r="U120" s="4">
        <v>1.9</v>
      </c>
      <c r="V120" s="4">
        <v>0.9</v>
      </c>
    </row>
    <row r="121" spans="1:22" ht="17" thickBot="1" x14ac:dyDescent="0.25">
      <c r="A121" s="8" t="s">
        <v>171</v>
      </c>
      <c r="B121" s="8" t="s">
        <v>69</v>
      </c>
      <c r="C121" s="4">
        <v>79</v>
      </c>
      <c r="D121" s="4">
        <v>335</v>
      </c>
      <c r="E121" s="4">
        <v>10</v>
      </c>
      <c r="F121" s="4">
        <v>38</v>
      </c>
      <c r="G121" s="4">
        <v>28</v>
      </c>
      <c r="H121" s="4">
        <v>1</v>
      </c>
      <c r="I121" s="5">
        <v>0.13400000000000001</v>
      </c>
      <c r="J121" s="6">
        <v>0.20599999999999999</v>
      </c>
      <c r="K121" s="4">
        <v>0.14099999999999999</v>
      </c>
      <c r="L121" s="4">
        <v>0.252</v>
      </c>
      <c r="M121" s="7">
        <v>0.218</v>
      </c>
      <c r="N121" s="4">
        <v>0.33400000000000002</v>
      </c>
      <c r="O121" s="4">
        <v>0.35899999999999999</v>
      </c>
      <c r="P121" s="4">
        <v>0.315</v>
      </c>
      <c r="Q121" s="4">
        <v>0.32900000000000001</v>
      </c>
      <c r="R121" s="4">
        <v>107</v>
      </c>
      <c r="S121" s="7">
        <v>-1.4</v>
      </c>
      <c r="T121" s="7">
        <v>1.2</v>
      </c>
      <c r="U121" s="4">
        <v>-4.4000000000000004</v>
      </c>
      <c r="V121" s="4">
        <v>0.9</v>
      </c>
    </row>
    <row r="122" spans="1:22" ht="17" thickBot="1" x14ac:dyDescent="0.25">
      <c r="A122" s="8" t="s">
        <v>172</v>
      </c>
      <c r="B122" s="8" t="s">
        <v>48</v>
      </c>
      <c r="C122" s="4">
        <v>83</v>
      </c>
      <c r="D122" s="4">
        <v>298</v>
      </c>
      <c r="E122" s="4">
        <v>10</v>
      </c>
      <c r="F122" s="4">
        <v>36</v>
      </c>
      <c r="G122" s="4">
        <v>35</v>
      </c>
      <c r="H122" s="4">
        <v>22</v>
      </c>
      <c r="I122" s="5">
        <v>5.3999999999999999E-2</v>
      </c>
      <c r="J122" s="6">
        <v>0.23200000000000001</v>
      </c>
      <c r="K122" s="4">
        <v>0.14699999999999999</v>
      </c>
      <c r="L122" s="4">
        <v>0.29599999999999999</v>
      </c>
      <c r="M122" s="7">
        <v>0.25</v>
      </c>
      <c r="N122" s="4">
        <v>0.30099999999999999</v>
      </c>
      <c r="O122" s="4">
        <v>0.39700000000000002</v>
      </c>
      <c r="P122" s="4">
        <v>0.30599999999999999</v>
      </c>
      <c r="Q122" s="4">
        <v>0.27100000000000002</v>
      </c>
      <c r="R122" s="4">
        <v>95</v>
      </c>
      <c r="S122" s="7">
        <v>1.9</v>
      </c>
      <c r="T122" s="7">
        <v>0.1</v>
      </c>
      <c r="U122" s="4">
        <v>-2</v>
      </c>
      <c r="V122" s="4">
        <v>0.9</v>
      </c>
    </row>
    <row r="123" spans="1:22" ht="17" thickBot="1" x14ac:dyDescent="0.25">
      <c r="A123" s="8" t="s">
        <v>173</v>
      </c>
      <c r="B123" s="8" t="s">
        <v>50</v>
      </c>
      <c r="C123" s="4">
        <v>91</v>
      </c>
      <c r="D123" s="4">
        <v>358</v>
      </c>
      <c r="E123" s="4">
        <v>14</v>
      </c>
      <c r="F123" s="4">
        <v>52</v>
      </c>
      <c r="G123" s="4">
        <v>37</v>
      </c>
      <c r="H123" s="4">
        <v>3</v>
      </c>
      <c r="I123" s="5">
        <v>9.5000000000000001E-2</v>
      </c>
      <c r="J123" s="6">
        <v>0.223</v>
      </c>
      <c r="K123" s="4">
        <v>0.17399999999999999</v>
      </c>
      <c r="L123" s="4">
        <v>0.28599999999999998</v>
      </c>
      <c r="M123" s="7">
        <v>0.247</v>
      </c>
      <c r="N123" s="4">
        <v>0.32800000000000001</v>
      </c>
      <c r="O123" s="4">
        <v>0.42099999999999999</v>
      </c>
      <c r="P123" s="4">
        <v>0.33</v>
      </c>
      <c r="Q123" s="4">
        <v>0.34499999999999997</v>
      </c>
      <c r="R123" s="4">
        <v>103</v>
      </c>
      <c r="S123" s="7">
        <v>1.7</v>
      </c>
      <c r="T123" s="7">
        <v>2.9</v>
      </c>
      <c r="U123" s="4">
        <v>-5.9</v>
      </c>
      <c r="V123" s="4">
        <v>0.9</v>
      </c>
    </row>
    <row r="124" spans="1:22" ht="17" thickBot="1" x14ac:dyDescent="0.25">
      <c r="A124" s="8" t="s">
        <v>174</v>
      </c>
      <c r="B124" s="8" t="s">
        <v>115</v>
      </c>
      <c r="C124" s="4">
        <v>93</v>
      </c>
      <c r="D124" s="4">
        <v>392</v>
      </c>
      <c r="E124" s="4">
        <v>10</v>
      </c>
      <c r="F124" s="4">
        <v>43</v>
      </c>
      <c r="G124" s="4">
        <v>38</v>
      </c>
      <c r="H124" s="4">
        <v>19</v>
      </c>
      <c r="I124" s="5">
        <v>7.0999999999999994E-2</v>
      </c>
      <c r="J124" s="6">
        <v>0.25</v>
      </c>
      <c r="K124" s="4">
        <v>0.13100000000000001</v>
      </c>
      <c r="L124" s="4">
        <v>0.27400000000000002</v>
      </c>
      <c r="M124" s="7">
        <v>0.219</v>
      </c>
      <c r="N124" s="4">
        <v>0.27800000000000002</v>
      </c>
      <c r="O124" s="4">
        <v>0.35</v>
      </c>
      <c r="P124" s="4">
        <v>0.27600000000000002</v>
      </c>
      <c r="Q124" s="4">
        <v>0.308</v>
      </c>
      <c r="R124" s="4">
        <v>76</v>
      </c>
      <c r="S124" s="7">
        <v>4.4000000000000004</v>
      </c>
      <c r="T124" s="7">
        <v>-7.2</v>
      </c>
      <c r="U124" s="4">
        <v>3.1</v>
      </c>
      <c r="V124" s="4">
        <v>0.9</v>
      </c>
    </row>
    <row r="125" spans="1:22" ht="17" thickBot="1" x14ac:dyDescent="0.25">
      <c r="A125" s="8" t="s">
        <v>175</v>
      </c>
      <c r="B125" s="8" t="s">
        <v>27</v>
      </c>
      <c r="C125" s="4">
        <v>95</v>
      </c>
      <c r="D125" s="4">
        <v>403</v>
      </c>
      <c r="E125" s="4">
        <v>10</v>
      </c>
      <c r="F125" s="4">
        <v>49</v>
      </c>
      <c r="G125" s="4">
        <v>44</v>
      </c>
      <c r="H125" s="4">
        <v>9</v>
      </c>
      <c r="I125" s="5">
        <v>0.06</v>
      </c>
      <c r="J125" s="6">
        <v>0.17599999999999999</v>
      </c>
      <c r="K125" s="4">
        <v>0.154</v>
      </c>
      <c r="L125" s="4">
        <v>0.27600000000000002</v>
      </c>
      <c r="M125" s="7">
        <v>0.246</v>
      </c>
      <c r="N125" s="4">
        <v>0.29799999999999999</v>
      </c>
      <c r="O125" s="4">
        <v>0.4</v>
      </c>
      <c r="P125" s="4">
        <v>0.30399999999999999</v>
      </c>
      <c r="Q125" s="4">
        <v>0.314</v>
      </c>
      <c r="R125" s="4">
        <v>90</v>
      </c>
      <c r="S125" s="7">
        <v>0.4</v>
      </c>
      <c r="T125" s="7">
        <v>-4.4000000000000004</v>
      </c>
      <c r="U125" s="4">
        <v>-0.2</v>
      </c>
      <c r="V125" s="4">
        <v>0.9</v>
      </c>
    </row>
    <row r="126" spans="1:22" ht="17" thickBot="1" x14ac:dyDescent="0.25">
      <c r="A126" s="8" t="s">
        <v>176</v>
      </c>
      <c r="B126" s="8" t="s">
        <v>115</v>
      </c>
      <c r="C126" s="4">
        <v>90</v>
      </c>
      <c r="D126" s="4">
        <v>322</v>
      </c>
      <c r="E126" s="4">
        <v>14</v>
      </c>
      <c r="F126" s="4">
        <v>35</v>
      </c>
      <c r="G126" s="4">
        <v>40</v>
      </c>
      <c r="H126" s="4">
        <v>4</v>
      </c>
      <c r="I126" s="5">
        <v>0.11799999999999999</v>
      </c>
      <c r="J126" s="6">
        <v>0.217</v>
      </c>
      <c r="K126" s="4">
        <v>0.20399999999999999</v>
      </c>
      <c r="L126" s="4">
        <v>0.245</v>
      </c>
      <c r="M126" s="7">
        <v>0.221</v>
      </c>
      <c r="N126" s="4">
        <v>0.32300000000000001</v>
      </c>
      <c r="O126" s="4">
        <v>0.42499999999999999</v>
      </c>
      <c r="P126" s="4">
        <v>0.33</v>
      </c>
      <c r="Q126" s="4">
        <v>0.33300000000000002</v>
      </c>
      <c r="R126" s="4">
        <v>112</v>
      </c>
      <c r="S126" s="7">
        <v>-0.3</v>
      </c>
      <c r="T126" s="7">
        <v>4.2</v>
      </c>
      <c r="U126" s="4">
        <v>-6.4</v>
      </c>
      <c r="V126" s="4">
        <v>0.8</v>
      </c>
    </row>
    <row r="127" spans="1:22" ht="17" thickBot="1" x14ac:dyDescent="0.25">
      <c r="A127" s="8" t="s">
        <v>177</v>
      </c>
      <c r="B127" s="8" t="s">
        <v>102</v>
      </c>
      <c r="C127" s="4">
        <v>87</v>
      </c>
      <c r="D127" s="4">
        <v>314</v>
      </c>
      <c r="E127" s="4">
        <v>3</v>
      </c>
      <c r="F127" s="4">
        <v>33</v>
      </c>
      <c r="G127" s="4">
        <v>39</v>
      </c>
      <c r="H127" s="4">
        <v>4</v>
      </c>
      <c r="I127" s="5">
        <v>9.1999999999999998E-2</v>
      </c>
      <c r="J127" s="6">
        <v>0.16900000000000001</v>
      </c>
      <c r="K127" s="4">
        <v>0.11600000000000001</v>
      </c>
      <c r="L127" s="4">
        <v>0.35899999999999999</v>
      </c>
      <c r="M127" s="7">
        <v>0.30099999999999999</v>
      </c>
      <c r="N127" s="4">
        <v>0.374</v>
      </c>
      <c r="O127" s="4">
        <v>0.41699999999999998</v>
      </c>
      <c r="P127" s="4">
        <v>0.35099999999999998</v>
      </c>
      <c r="Q127" s="4">
        <v>0.33100000000000002</v>
      </c>
      <c r="R127" s="4">
        <v>108</v>
      </c>
      <c r="S127" s="7">
        <v>-1.5</v>
      </c>
      <c r="T127" s="7">
        <v>1.5</v>
      </c>
      <c r="U127" s="4">
        <v>-6</v>
      </c>
      <c r="V127" s="4">
        <v>0.6</v>
      </c>
    </row>
    <row r="128" spans="1:22" ht="17" thickBot="1" x14ac:dyDescent="0.25">
      <c r="A128" s="8" t="s">
        <v>178</v>
      </c>
      <c r="B128" s="8" t="s">
        <v>29</v>
      </c>
      <c r="C128" s="4">
        <v>74</v>
      </c>
      <c r="D128" s="4">
        <v>317</v>
      </c>
      <c r="E128" s="4">
        <v>11</v>
      </c>
      <c r="F128" s="4">
        <v>45</v>
      </c>
      <c r="G128" s="4">
        <v>27</v>
      </c>
      <c r="H128" s="4">
        <v>2</v>
      </c>
      <c r="I128" s="5">
        <v>9.0999999999999998E-2</v>
      </c>
      <c r="J128" s="6">
        <v>0.221</v>
      </c>
      <c r="K128" s="4">
        <v>0.16800000000000001</v>
      </c>
      <c r="L128" s="4">
        <v>0.27300000000000002</v>
      </c>
      <c r="M128" s="7">
        <v>0.23499999999999999</v>
      </c>
      <c r="N128" s="4">
        <v>0.307</v>
      </c>
      <c r="O128" s="4">
        <v>0.40400000000000003</v>
      </c>
      <c r="P128" s="4">
        <v>0.311</v>
      </c>
      <c r="Q128" s="4">
        <v>0.28799999999999998</v>
      </c>
      <c r="R128" s="4">
        <v>98</v>
      </c>
      <c r="S128" s="7">
        <v>-1.4</v>
      </c>
      <c r="T128" s="7">
        <v>-2</v>
      </c>
      <c r="U128" s="4">
        <v>-4</v>
      </c>
      <c r="V128" s="4">
        <v>0.5</v>
      </c>
    </row>
    <row r="129" spans="1:22" ht="17" thickBot="1" x14ac:dyDescent="0.25">
      <c r="A129" s="8" t="s">
        <v>179</v>
      </c>
      <c r="B129" s="8" t="s">
        <v>53</v>
      </c>
      <c r="C129" s="4">
        <v>83</v>
      </c>
      <c r="D129" s="4">
        <v>300</v>
      </c>
      <c r="E129" s="4">
        <v>7</v>
      </c>
      <c r="F129" s="4">
        <v>40</v>
      </c>
      <c r="G129" s="4">
        <v>47</v>
      </c>
      <c r="H129" s="4">
        <v>2</v>
      </c>
      <c r="I129" s="5">
        <v>5.2999999999999999E-2</v>
      </c>
      <c r="J129" s="6">
        <v>9.7000000000000003E-2</v>
      </c>
      <c r="K129" s="4">
        <v>0.13600000000000001</v>
      </c>
      <c r="L129" s="4">
        <v>0.26600000000000001</v>
      </c>
      <c r="M129" s="7">
        <v>0.25800000000000001</v>
      </c>
      <c r="N129" s="4">
        <v>0.30199999999999999</v>
      </c>
      <c r="O129" s="4">
        <v>0.39400000000000002</v>
      </c>
      <c r="P129" s="4">
        <v>0.30299999999999999</v>
      </c>
      <c r="Q129" s="4">
        <v>0.31</v>
      </c>
      <c r="R129" s="4">
        <v>88</v>
      </c>
      <c r="S129" s="7">
        <v>0.6</v>
      </c>
      <c r="T129" s="7">
        <v>-3.6</v>
      </c>
      <c r="U129" s="4">
        <v>-1.5</v>
      </c>
      <c r="V129" s="4">
        <v>0.5</v>
      </c>
    </row>
    <row r="130" spans="1:22" ht="17" thickBot="1" x14ac:dyDescent="0.25">
      <c r="A130" s="8" t="s">
        <v>180</v>
      </c>
      <c r="B130" s="8" t="s">
        <v>44</v>
      </c>
      <c r="C130" s="4">
        <v>82</v>
      </c>
      <c r="D130" s="4">
        <v>319</v>
      </c>
      <c r="E130" s="4">
        <v>11</v>
      </c>
      <c r="F130" s="4">
        <v>32</v>
      </c>
      <c r="G130" s="4">
        <v>30</v>
      </c>
      <c r="H130" s="4">
        <v>14</v>
      </c>
      <c r="I130" s="5">
        <v>8.2000000000000003E-2</v>
      </c>
      <c r="J130" s="6">
        <v>0.20399999999999999</v>
      </c>
      <c r="K130" s="4">
        <v>0.13900000000000001</v>
      </c>
      <c r="L130" s="4">
        <v>0.218</v>
      </c>
      <c r="M130" s="7">
        <v>0.2</v>
      </c>
      <c r="N130" s="4">
        <v>0.27800000000000002</v>
      </c>
      <c r="O130" s="4">
        <v>0.33900000000000002</v>
      </c>
      <c r="P130" s="4">
        <v>0.27600000000000002</v>
      </c>
      <c r="Q130" s="4">
        <v>0.26500000000000001</v>
      </c>
      <c r="R130" s="4">
        <v>73</v>
      </c>
      <c r="S130" s="7">
        <v>-0.1</v>
      </c>
      <c r="T130" s="7">
        <v>-10.4</v>
      </c>
      <c r="U130" s="4">
        <v>3.3</v>
      </c>
      <c r="V130" s="4">
        <v>0.4</v>
      </c>
    </row>
    <row r="131" spans="1:22" ht="17" thickBot="1" x14ac:dyDescent="0.25">
      <c r="A131" s="8" t="s">
        <v>181</v>
      </c>
      <c r="B131" s="8" t="s">
        <v>63</v>
      </c>
      <c r="C131" s="4">
        <v>94</v>
      </c>
      <c r="D131" s="4">
        <v>375</v>
      </c>
      <c r="E131" s="4">
        <v>13</v>
      </c>
      <c r="F131" s="4">
        <v>48</v>
      </c>
      <c r="G131" s="4">
        <v>60</v>
      </c>
      <c r="H131" s="4">
        <v>1</v>
      </c>
      <c r="I131" s="5">
        <v>7.4999999999999997E-2</v>
      </c>
      <c r="J131" s="6">
        <v>0.216</v>
      </c>
      <c r="K131" s="4">
        <v>0.18099999999999999</v>
      </c>
      <c r="L131" s="4">
        <v>0.28699999999999998</v>
      </c>
      <c r="M131" s="7">
        <v>0.248</v>
      </c>
      <c r="N131" s="4">
        <v>0.307</v>
      </c>
      <c r="O131" s="4">
        <v>0.42899999999999999</v>
      </c>
      <c r="P131" s="4">
        <v>0.32</v>
      </c>
      <c r="Q131" s="4">
        <v>0.33200000000000002</v>
      </c>
      <c r="R131" s="4">
        <v>103</v>
      </c>
      <c r="S131" s="7">
        <v>-1.8</v>
      </c>
      <c r="T131" s="7">
        <v>-0.5</v>
      </c>
      <c r="U131" s="4">
        <v>-9.4</v>
      </c>
      <c r="V131" s="4">
        <v>0.4</v>
      </c>
    </row>
    <row r="132" spans="1:22" ht="17" thickBot="1" x14ac:dyDescent="0.25">
      <c r="A132" s="8" t="s">
        <v>182</v>
      </c>
      <c r="B132" s="8" t="s">
        <v>80</v>
      </c>
      <c r="C132" s="4">
        <v>94</v>
      </c>
      <c r="D132" s="4">
        <v>415</v>
      </c>
      <c r="E132" s="4">
        <v>10</v>
      </c>
      <c r="F132" s="4">
        <v>62</v>
      </c>
      <c r="G132" s="4">
        <v>33</v>
      </c>
      <c r="H132" s="4">
        <v>16</v>
      </c>
      <c r="I132" s="5">
        <v>0.06</v>
      </c>
      <c r="J132" s="6">
        <v>0.222</v>
      </c>
      <c r="K132" s="4">
        <v>0.11899999999999999</v>
      </c>
      <c r="L132" s="4">
        <v>0.28299999999999997</v>
      </c>
      <c r="M132" s="7">
        <v>0.23599999999999999</v>
      </c>
      <c r="N132" s="4">
        <v>0.28399999999999997</v>
      </c>
      <c r="O132" s="4">
        <v>0.35499999999999998</v>
      </c>
      <c r="P132" s="4">
        <v>0.28299999999999997</v>
      </c>
      <c r="Q132" s="4">
        <v>0.28899999999999998</v>
      </c>
      <c r="R132" s="4">
        <v>74</v>
      </c>
      <c r="S132" s="7">
        <v>2.4</v>
      </c>
      <c r="T132" s="7">
        <v>-10.4</v>
      </c>
      <c r="U132" s="4">
        <v>-0.3</v>
      </c>
      <c r="V132" s="4">
        <v>0.3</v>
      </c>
    </row>
    <row r="133" spans="1:22" ht="17" thickBot="1" x14ac:dyDescent="0.25">
      <c r="A133" s="8" t="s">
        <v>183</v>
      </c>
      <c r="B133" s="8" t="s">
        <v>25</v>
      </c>
      <c r="C133" s="4">
        <v>86</v>
      </c>
      <c r="D133" s="4">
        <v>315</v>
      </c>
      <c r="E133" s="4">
        <v>5</v>
      </c>
      <c r="F133" s="4">
        <v>35</v>
      </c>
      <c r="G133" s="4">
        <v>28</v>
      </c>
      <c r="H133" s="4">
        <v>5</v>
      </c>
      <c r="I133" s="5">
        <v>0.121</v>
      </c>
      <c r="J133" s="6">
        <v>0.22900000000000001</v>
      </c>
      <c r="K133" s="4">
        <v>0.124</v>
      </c>
      <c r="L133" s="4">
        <v>0.307</v>
      </c>
      <c r="M133" s="7">
        <v>0.24</v>
      </c>
      <c r="N133" s="4">
        <v>0.34499999999999997</v>
      </c>
      <c r="O133" s="4">
        <v>0.36299999999999999</v>
      </c>
      <c r="P133" s="4">
        <v>0.32</v>
      </c>
      <c r="Q133" s="4">
        <v>0.316</v>
      </c>
      <c r="R133" s="4">
        <v>101</v>
      </c>
      <c r="S133" s="7">
        <v>-2.4</v>
      </c>
      <c r="T133" s="7">
        <v>-2.2000000000000002</v>
      </c>
      <c r="U133" s="4">
        <v>-6.5</v>
      </c>
      <c r="V133" s="4">
        <v>0.3</v>
      </c>
    </row>
    <row r="134" spans="1:22" ht="17" thickBot="1" x14ac:dyDescent="0.25">
      <c r="A134" s="8" t="s">
        <v>184</v>
      </c>
      <c r="B134" s="8" t="s">
        <v>31</v>
      </c>
      <c r="C134" s="4">
        <v>94</v>
      </c>
      <c r="D134" s="4">
        <v>389</v>
      </c>
      <c r="E134" s="4">
        <v>5</v>
      </c>
      <c r="F134" s="4">
        <v>47</v>
      </c>
      <c r="G134" s="4">
        <v>25</v>
      </c>
      <c r="H134" s="4">
        <v>19</v>
      </c>
      <c r="I134" s="5">
        <v>0.129</v>
      </c>
      <c r="J134" s="6">
        <v>0.219</v>
      </c>
      <c r="K134" s="4">
        <v>9.8000000000000004E-2</v>
      </c>
      <c r="L134" s="4">
        <v>0.25</v>
      </c>
      <c r="M134" s="7">
        <v>0.19700000000000001</v>
      </c>
      <c r="N134" s="4">
        <v>0.31900000000000001</v>
      </c>
      <c r="O134" s="4">
        <v>0.29499999999999998</v>
      </c>
      <c r="P134" s="4">
        <v>0.28699999999999998</v>
      </c>
      <c r="Q134" s="4">
        <v>0.30499999999999999</v>
      </c>
      <c r="R134" s="4">
        <v>77</v>
      </c>
      <c r="S134" s="7">
        <v>0.3</v>
      </c>
      <c r="T134" s="7">
        <v>-10.3</v>
      </c>
      <c r="U134" s="4">
        <v>0.2</v>
      </c>
      <c r="V134" s="4">
        <v>0.3</v>
      </c>
    </row>
    <row r="135" spans="1:22" ht="17" thickBot="1" x14ac:dyDescent="0.25">
      <c r="A135" s="8" t="s">
        <v>185</v>
      </c>
      <c r="B135" s="8" t="s">
        <v>69</v>
      </c>
      <c r="C135" s="4">
        <v>90</v>
      </c>
      <c r="D135" s="4">
        <v>389</v>
      </c>
      <c r="E135" s="4">
        <v>8</v>
      </c>
      <c r="F135" s="4">
        <v>35</v>
      </c>
      <c r="G135" s="4">
        <v>36</v>
      </c>
      <c r="H135" s="4">
        <v>18</v>
      </c>
      <c r="I135" s="5">
        <v>7.6999999999999999E-2</v>
      </c>
      <c r="J135" s="6">
        <v>0.126</v>
      </c>
      <c r="K135" s="4">
        <v>0.10199999999999999</v>
      </c>
      <c r="L135" s="4">
        <v>0.27300000000000002</v>
      </c>
      <c r="M135" s="7">
        <v>0.252</v>
      </c>
      <c r="N135" s="4">
        <v>0.317</v>
      </c>
      <c r="O135" s="4">
        <v>0.35399999999999998</v>
      </c>
      <c r="P135" s="4">
        <v>0.29899999999999999</v>
      </c>
      <c r="Q135" s="4">
        <v>0.31900000000000001</v>
      </c>
      <c r="R135" s="4">
        <v>95</v>
      </c>
      <c r="S135" s="7">
        <v>-2.2000000000000002</v>
      </c>
      <c r="T135" s="7">
        <v>-4.3</v>
      </c>
      <c r="U135" s="4">
        <v>-7.2</v>
      </c>
      <c r="V135" s="4">
        <v>0.2</v>
      </c>
    </row>
    <row r="136" spans="1:22" ht="17" thickBot="1" x14ac:dyDescent="0.25">
      <c r="A136" s="8" t="s">
        <v>186</v>
      </c>
      <c r="B136" s="8" t="s">
        <v>66</v>
      </c>
      <c r="C136" s="4">
        <v>87</v>
      </c>
      <c r="D136" s="4">
        <v>376</v>
      </c>
      <c r="E136" s="4">
        <v>13</v>
      </c>
      <c r="F136" s="4">
        <v>41</v>
      </c>
      <c r="G136" s="4">
        <v>45</v>
      </c>
      <c r="H136" s="4">
        <v>14</v>
      </c>
      <c r="I136" s="5">
        <v>7.1999999999999995E-2</v>
      </c>
      <c r="J136" s="6">
        <v>0.30099999999999999</v>
      </c>
      <c r="K136" s="4">
        <v>0.156</v>
      </c>
      <c r="L136" s="4">
        <v>0.24299999999999999</v>
      </c>
      <c r="M136" s="7">
        <v>0.19400000000000001</v>
      </c>
      <c r="N136" s="4">
        <v>0.25900000000000001</v>
      </c>
      <c r="O136" s="4">
        <v>0.35</v>
      </c>
      <c r="P136" s="4">
        <v>0.26800000000000002</v>
      </c>
      <c r="Q136" s="4">
        <v>0.29599999999999999</v>
      </c>
      <c r="R136" s="4">
        <v>64</v>
      </c>
      <c r="S136" s="7">
        <v>3.2</v>
      </c>
      <c r="T136" s="7">
        <v>-13</v>
      </c>
      <c r="U136" s="4">
        <v>1.7</v>
      </c>
      <c r="V136" s="4">
        <v>0.2</v>
      </c>
    </row>
    <row r="137" spans="1:22" ht="17" thickBot="1" x14ac:dyDescent="0.25">
      <c r="A137" s="8" t="s">
        <v>187</v>
      </c>
      <c r="B137" s="8" t="s">
        <v>102</v>
      </c>
      <c r="C137" s="4">
        <v>82</v>
      </c>
      <c r="D137" s="4">
        <v>320</v>
      </c>
      <c r="E137" s="4">
        <v>7</v>
      </c>
      <c r="F137" s="4">
        <v>40</v>
      </c>
      <c r="G137" s="4">
        <v>37</v>
      </c>
      <c r="H137" s="4">
        <v>6</v>
      </c>
      <c r="I137" s="5">
        <v>8.4000000000000005E-2</v>
      </c>
      <c r="J137" s="6">
        <v>0.27800000000000002</v>
      </c>
      <c r="K137" s="4">
        <v>0.11799999999999999</v>
      </c>
      <c r="L137" s="4">
        <v>0.35199999999999998</v>
      </c>
      <c r="M137" s="7">
        <v>0.26</v>
      </c>
      <c r="N137" s="4">
        <v>0.33100000000000002</v>
      </c>
      <c r="O137" s="4">
        <v>0.378</v>
      </c>
      <c r="P137" s="4">
        <v>0.317</v>
      </c>
      <c r="Q137" s="4">
        <v>0.29399999999999998</v>
      </c>
      <c r="R137" s="4">
        <v>85</v>
      </c>
      <c r="S137" s="7">
        <v>-1.8</v>
      </c>
      <c r="T137" s="7">
        <v>-7.5</v>
      </c>
      <c r="U137" s="4">
        <v>-1.2</v>
      </c>
      <c r="V137" s="4">
        <v>0.2</v>
      </c>
    </row>
    <row r="138" spans="1:22" ht="17" thickBot="1" x14ac:dyDescent="0.25">
      <c r="A138" s="8" t="s">
        <v>188</v>
      </c>
      <c r="B138" s="8" t="s">
        <v>36</v>
      </c>
      <c r="C138" s="4">
        <v>91</v>
      </c>
      <c r="D138" s="4">
        <v>384</v>
      </c>
      <c r="E138" s="4">
        <v>15</v>
      </c>
      <c r="F138" s="4">
        <v>45</v>
      </c>
      <c r="G138" s="4">
        <v>37</v>
      </c>
      <c r="H138" s="4">
        <v>2</v>
      </c>
      <c r="I138" s="5">
        <v>6.5000000000000002E-2</v>
      </c>
      <c r="J138" s="6">
        <v>0.27900000000000003</v>
      </c>
      <c r="K138" s="4">
        <v>0.19</v>
      </c>
      <c r="L138" s="4">
        <v>0.28399999999999997</v>
      </c>
      <c r="M138" s="7">
        <v>0.23</v>
      </c>
      <c r="N138" s="4">
        <v>0.28100000000000003</v>
      </c>
      <c r="O138" s="4">
        <v>0.42</v>
      </c>
      <c r="P138" s="4">
        <v>0.30399999999999999</v>
      </c>
      <c r="Q138" s="4">
        <v>0.29099999999999998</v>
      </c>
      <c r="R138" s="4">
        <v>93</v>
      </c>
      <c r="S138" s="7">
        <v>-2.5</v>
      </c>
      <c r="T138" s="7">
        <v>-5.7</v>
      </c>
      <c r="U138" s="4">
        <v>-5.6</v>
      </c>
      <c r="V138" s="4">
        <v>0.1</v>
      </c>
    </row>
    <row r="139" spans="1:22" ht="17" thickBot="1" x14ac:dyDescent="0.25">
      <c r="A139" s="8" t="s">
        <v>189</v>
      </c>
      <c r="B139" s="8" t="s">
        <v>50</v>
      </c>
      <c r="C139" s="4">
        <v>83</v>
      </c>
      <c r="D139" s="4">
        <v>309</v>
      </c>
      <c r="E139" s="4">
        <v>8</v>
      </c>
      <c r="F139" s="4">
        <v>32</v>
      </c>
      <c r="G139" s="4">
        <v>25</v>
      </c>
      <c r="H139" s="4">
        <v>11</v>
      </c>
      <c r="I139" s="5">
        <v>0.11700000000000001</v>
      </c>
      <c r="J139" s="6">
        <v>0.26900000000000002</v>
      </c>
      <c r="K139" s="4">
        <v>0.13800000000000001</v>
      </c>
      <c r="L139" s="4">
        <v>0.24299999999999999</v>
      </c>
      <c r="M139" s="7">
        <v>0.19</v>
      </c>
      <c r="N139" s="4">
        <v>0.29299999999999998</v>
      </c>
      <c r="O139" s="4">
        <v>0.32800000000000001</v>
      </c>
      <c r="P139" s="4">
        <v>0.28299999999999997</v>
      </c>
      <c r="Q139" s="4">
        <v>0.317</v>
      </c>
      <c r="R139" s="4">
        <v>71</v>
      </c>
      <c r="S139" s="7">
        <v>-0.9</v>
      </c>
      <c r="T139" s="7">
        <v>-11.7</v>
      </c>
      <c r="U139" s="4">
        <v>2.7</v>
      </c>
      <c r="V139" s="4">
        <v>0.1</v>
      </c>
    </row>
    <row r="140" spans="1:22" ht="17" thickBot="1" x14ac:dyDescent="0.25">
      <c r="A140" s="8" t="s">
        <v>190</v>
      </c>
      <c r="B140" s="8" t="s">
        <v>86</v>
      </c>
      <c r="C140" s="4">
        <v>96</v>
      </c>
      <c r="D140" s="4">
        <v>399</v>
      </c>
      <c r="E140" s="4">
        <v>13</v>
      </c>
      <c r="F140" s="4">
        <v>42</v>
      </c>
      <c r="G140" s="4">
        <v>53</v>
      </c>
      <c r="H140" s="4">
        <v>3</v>
      </c>
      <c r="I140" s="5">
        <v>0.03</v>
      </c>
      <c r="J140" s="6">
        <v>0.218</v>
      </c>
      <c r="K140" s="4">
        <v>0.151</v>
      </c>
      <c r="L140" s="4">
        <v>0.28499999999999998</v>
      </c>
      <c r="M140" s="7">
        <v>0.245</v>
      </c>
      <c r="N140" s="4">
        <v>0.29099999999999998</v>
      </c>
      <c r="O140" s="4">
        <v>0.39500000000000002</v>
      </c>
      <c r="P140" s="4">
        <v>0.30099999999999999</v>
      </c>
      <c r="Q140" s="4">
        <v>0.32400000000000001</v>
      </c>
      <c r="R140" s="4">
        <v>89</v>
      </c>
      <c r="S140" s="7">
        <v>0.3</v>
      </c>
      <c r="T140" s="7">
        <v>-4.8</v>
      </c>
      <c r="U140" s="4">
        <v>-8.9</v>
      </c>
      <c r="V140" s="4">
        <v>0.1</v>
      </c>
    </row>
    <row r="141" spans="1:22" ht="17" thickBot="1" x14ac:dyDescent="0.25">
      <c r="A141" s="8" t="s">
        <v>191</v>
      </c>
      <c r="B141" s="8" t="s">
        <v>71</v>
      </c>
      <c r="C141" s="4">
        <v>95</v>
      </c>
      <c r="D141" s="4">
        <v>385</v>
      </c>
      <c r="E141" s="4">
        <v>9</v>
      </c>
      <c r="F141" s="4">
        <v>38</v>
      </c>
      <c r="G141" s="4">
        <v>42</v>
      </c>
      <c r="H141" s="4">
        <v>6</v>
      </c>
      <c r="I141" s="5">
        <v>8.3000000000000004E-2</v>
      </c>
      <c r="J141" s="6">
        <v>0.29399999999999998</v>
      </c>
      <c r="K141" s="4">
        <v>0.122</v>
      </c>
      <c r="L141" s="4">
        <v>0.27800000000000002</v>
      </c>
      <c r="M141" s="7">
        <v>0.20699999999999999</v>
      </c>
      <c r="N141" s="4">
        <v>0.28799999999999998</v>
      </c>
      <c r="O141" s="4">
        <v>0.32900000000000001</v>
      </c>
      <c r="P141" s="4">
        <v>0.27900000000000003</v>
      </c>
      <c r="Q141" s="4">
        <v>0.28699999999999998</v>
      </c>
      <c r="R141" s="4">
        <v>73</v>
      </c>
      <c r="S141" s="7">
        <v>1</v>
      </c>
      <c r="T141" s="7">
        <v>-11.6</v>
      </c>
      <c r="U141" s="4">
        <v>-0.9</v>
      </c>
      <c r="V141" s="4">
        <v>0</v>
      </c>
    </row>
    <row r="142" spans="1:22" ht="17" thickBot="1" x14ac:dyDescent="0.25">
      <c r="A142" s="8" t="s">
        <v>192</v>
      </c>
      <c r="B142" s="8" t="s">
        <v>33</v>
      </c>
      <c r="C142" s="4">
        <v>95</v>
      </c>
      <c r="D142" s="4">
        <v>371</v>
      </c>
      <c r="E142" s="4">
        <v>16</v>
      </c>
      <c r="F142" s="4">
        <v>38</v>
      </c>
      <c r="G142" s="4">
        <v>43</v>
      </c>
      <c r="H142" s="4">
        <v>0</v>
      </c>
      <c r="I142" s="5">
        <v>0.111</v>
      </c>
      <c r="J142" s="6">
        <v>0.32900000000000001</v>
      </c>
      <c r="K142" s="4">
        <v>0.20499999999999999</v>
      </c>
      <c r="L142" s="4">
        <v>0.27400000000000002</v>
      </c>
      <c r="M142" s="7">
        <v>0.20799999999999999</v>
      </c>
      <c r="N142" s="4">
        <v>0.30499999999999999</v>
      </c>
      <c r="O142" s="4">
        <v>0.41299999999999998</v>
      </c>
      <c r="P142" s="4">
        <v>0.316</v>
      </c>
      <c r="Q142" s="4">
        <v>0.32200000000000001</v>
      </c>
      <c r="R142" s="4">
        <v>101</v>
      </c>
      <c r="S142" s="7">
        <v>-1.1000000000000001</v>
      </c>
      <c r="T142" s="7">
        <v>-0.9</v>
      </c>
      <c r="U142" s="4">
        <v>-12.5</v>
      </c>
      <c r="V142" s="4">
        <v>0</v>
      </c>
    </row>
    <row r="143" spans="1:22" ht="17" thickBot="1" x14ac:dyDescent="0.25">
      <c r="A143" s="8" t="s">
        <v>193</v>
      </c>
      <c r="B143" s="8" t="s">
        <v>59</v>
      </c>
      <c r="C143" s="4">
        <v>93</v>
      </c>
      <c r="D143" s="4">
        <v>328</v>
      </c>
      <c r="E143" s="4">
        <v>4</v>
      </c>
      <c r="F143" s="4">
        <v>35</v>
      </c>
      <c r="G143" s="4">
        <v>31</v>
      </c>
      <c r="H143" s="4">
        <v>5</v>
      </c>
      <c r="I143" s="5">
        <v>9.0999999999999998E-2</v>
      </c>
      <c r="J143" s="6">
        <v>0.27100000000000002</v>
      </c>
      <c r="K143" s="4">
        <v>9.2999999999999999E-2</v>
      </c>
      <c r="L143" s="4">
        <v>0.29899999999999999</v>
      </c>
      <c r="M143" s="7">
        <v>0.221</v>
      </c>
      <c r="N143" s="4">
        <v>0.29699999999999999</v>
      </c>
      <c r="O143" s="4">
        <v>0.314</v>
      </c>
      <c r="P143" s="4">
        <v>0.27600000000000002</v>
      </c>
      <c r="Q143" s="4">
        <v>0.309</v>
      </c>
      <c r="R143" s="4">
        <v>75</v>
      </c>
      <c r="S143" s="7">
        <v>1</v>
      </c>
      <c r="T143" s="7">
        <v>-9</v>
      </c>
      <c r="U143" s="4">
        <v>-2.7</v>
      </c>
      <c r="V143" s="4">
        <v>-0.1</v>
      </c>
    </row>
    <row r="144" spans="1:22" ht="17" thickBot="1" x14ac:dyDescent="0.25">
      <c r="A144" s="8" t="s">
        <v>194</v>
      </c>
      <c r="B144" s="8" t="s">
        <v>61</v>
      </c>
      <c r="C144" s="4">
        <v>87</v>
      </c>
      <c r="D144" s="4">
        <v>310</v>
      </c>
      <c r="E144" s="4">
        <v>10</v>
      </c>
      <c r="F144" s="4">
        <v>32</v>
      </c>
      <c r="G144" s="4">
        <v>30</v>
      </c>
      <c r="H144" s="4">
        <v>0</v>
      </c>
      <c r="I144" s="5">
        <v>0.106</v>
      </c>
      <c r="J144" s="6">
        <v>0.31</v>
      </c>
      <c r="K144" s="4">
        <v>0.14399999999999999</v>
      </c>
      <c r="L144" s="4">
        <v>0.28899999999999998</v>
      </c>
      <c r="M144" s="7">
        <v>0.215</v>
      </c>
      <c r="N144" s="4">
        <v>0.31</v>
      </c>
      <c r="O144" s="4">
        <v>0.35899999999999999</v>
      </c>
      <c r="P144" s="4">
        <v>0.3</v>
      </c>
      <c r="Q144" s="4">
        <v>0.307</v>
      </c>
      <c r="R144" s="4">
        <v>91</v>
      </c>
      <c r="S144" s="7">
        <v>-1.7</v>
      </c>
      <c r="T144" s="7">
        <v>-4.9000000000000004</v>
      </c>
      <c r="U144" s="4">
        <v>-7.6</v>
      </c>
      <c r="V144" s="4">
        <v>-0.1</v>
      </c>
    </row>
    <row r="145" spans="1:22" ht="17" thickBot="1" x14ac:dyDescent="0.25">
      <c r="A145" s="8" t="s">
        <v>195</v>
      </c>
      <c r="B145" s="8" t="s">
        <v>40</v>
      </c>
      <c r="C145" s="4">
        <v>89</v>
      </c>
      <c r="D145" s="4">
        <v>312</v>
      </c>
      <c r="E145" s="4">
        <v>4</v>
      </c>
      <c r="F145" s="4">
        <v>33</v>
      </c>
      <c r="G145" s="4">
        <v>34</v>
      </c>
      <c r="H145" s="4">
        <v>6</v>
      </c>
      <c r="I145" s="5">
        <v>0.08</v>
      </c>
      <c r="J145" s="6">
        <v>9.9000000000000005E-2</v>
      </c>
      <c r="K145" s="4">
        <v>9.5000000000000001E-2</v>
      </c>
      <c r="L145" s="4">
        <v>0.251</v>
      </c>
      <c r="M145" s="7">
        <v>0.23599999999999999</v>
      </c>
      <c r="N145" s="4">
        <v>0.30199999999999999</v>
      </c>
      <c r="O145" s="4">
        <v>0.33100000000000002</v>
      </c>
      <c r="P145" s="4">
        <v>0.28199999999999997</v>
      </c>
      <c r="Q145" s="4">
        <v>0.28599999999999998</v>
      </c>
      <c r="R145" s="4">
        <v>77</v>
      </c>
      <c r="S145" s="7">
        <v>1.3</v>
      </c>
      <c r="T145" s="7">
        <v>-7.5</v>
      </c>
      <c r="U145" s="4">
        <v>-4.4000000000000004</v>
      </c>
      <c r="V145" s="4">
        <v>-0.2</v>
      </c>
    </row>
    <row r="146" spans="1:22" ht="17" thickBot="1" x14ac:dyDescent="0.25">
      <c r="A146" s="8" t="s">
        <v>196</v>
      </c>
      <c r="B146" s="8" t="s">
        <v>59</v>
      </c>
      <c r="C146" s="4">
        <v>80</v>
      </c>
      <c r="D146" s="4">
        <v>318</v>
      </c>
      <c r="E146" s="4">
        <v>9</v>
      </c>
      <c r="F146" s="4">
        <v>30</v>
      </c>
      <c r="G146" s="4">
        <v>29</v>
      </c>
      <c r="H146" s="4">
        <v>6</v>
      </c>
      <c r="I146" s="5">
        <v>7.1999999999999995E-2</v>
      </c>
      <c r="J146" s="6">
        <v>0.214</v>
      </c>
      <c r="K146" s="4">
        <v>0.128</v>
      </c>
      <c r="L146" s="4">
        <v>0.245</v>
      </c>
      <c r="M146" s="7">
        <v>0.214</v>
      </c>
      <c r="N146" s="4">
        <v>0.27100000000000002</v>
      </c>
      <c r="O146" s="4">
        <v>0.34100000000000003</v>
      </c>
      <c r="P146" s="4">
        <v>0.27100000000000002</v>
      </c>
      <c r="Q146" s="4">
        <v>0.316</v>
      </c>
      <c r="R146" s="4">
        <v>72</v>
      </c>
      <c r="S146" s="7">
        <v>0.8</v>
      </c>
      <c r="T146" s="7">
        <v>-10.1</v>
      </c>
      <c r="U146" s="4">
        <v>-3.6</v>
      </c>
      <c r="V146" s="4">
        <v>-0.3</v>
      </c>
    </row>
    <row r="147" spans="1:22" ht="17" thickBot="1" x14ac:dyDescent="0.25">
      <c r="A147" s="8" t="s">
        <v>197</v>
      </c>
      <c r="B147" s="8" t="s">
        <v>80</v>
      </c>
      <c r="C147" s="4">
        <v>92</v>
      </c>
      <c r="D147" s="4">
        <v>374</v>
      </c>
      <c r="E147" s="4">
        <v>11</v>
      </c>
      <c r="F147" s="4">
        <v>31</v>
      </c>
      <c r="G147" s="4">
        <v>47</v>
      </c>
      <c r="H147" s="4">
        <v>1</v>
      </c>
      <c r="I147" s="5">
        <v>6.7000000000000004E-2</v>
      </c>
      <c r="J147" s="6">
        <v>0.15</v>
      </c>
      <c r="K147" s="4">
        <v>0.13900000000000001</v>
      </c>
      <c r="L147" s="4">
        <v>0.22500000000000001</v>
      </c>
      <c r="M147" s="7">
        <v>0.215</v>
      </c>
      <c r="N147" s="4">
        <v>0.27800000000000002</v>
      </c>
      <c r="O147" s="4">
        <v>0.35399999999999998</v>
      </c>
      <c r="P147" s="4">
        <v>0.28000000000000003</v>
      </c>
      <c r="Q147" s="4">
        <v>0.3</v>
      </c>
      <c r="R147" s="4">
        <v>73</v>
      </c>
      <c r="S147" s="7">
        <v>-1.2</v>
      </c>
      <c r="T147" s="7">
        <v>-13.6</v>
      </c>
      <c r="U147" s="4">
        <v>-2</v>
      </c>
      <c r="V147" s="4">
        <v>-0.4</v>
      </c>
    </row>
    <row r="148" spans="1:22" ht="17" thickBot="1" x14ac:dyDescent="0.25">
      <c r="A148" s="8" t="s">
        <v>198</v>
      </c>
      <c r="B148" s="8" t="s">
        <v>86</v>
      </c>
      <c r="C148" s="4">
        <v>74</v>
      </c>
      <c r="D148" s="4">
        <v>310</v>
      </c>
      <c r="E148" s="4">
        <v>11</v>
      </c>
      <c r="F148" s="4">
        <v>33</v>
      </c>
      <c r="G148" s="4">
        <v>42</v>
      </c>
      <c r="H148" s="4">
        <v>0</v>
      </c>
      <c r="I148" s="5">
        <v>0.1</v>
      </c>
      <c r="J148" s="6">
        <v>0.31</v>
      </c>
      <c r="K148" s="4">
        <v>0.17699999999999999</v>
      </c>
      <c r="L148" s="4">
        <v>0.28000000000000003</v>
      </c>
      <c r="M148" s="7">
        <v>0.214</v>
      </c>
      <c r="N148" s="4">
        <v>0.3</v>
      </c>
      <c r="O148" s="4">
        <v>0.39100000000000001</v>
      </c>
      <c r="P148" s="4">
        <v>0.30399999999999999</v>
      </c>
      <c r="Q148" s="4">
        <v>0.307</v>
      </c>
      <c r="R148" s="4">
        <v>92</v>
      </c>
      <c r="S148" s="7">
        <v>-2.2000000000000002</v>
      </c>
      <c r="T148" s="7">
        <v>-5.3</v>
      </c>
      <c r="U148" s="4">
        <v>-9.3000000000000007</v>
      </c>
      <c r="V148" s="4">
        <v>-0.4</v>
      </c>
    </row>
    <row r="149" spans="1:22" ht="17" thickBot="1" x14ac:dyDescent="0.25">
      <c r="A149" s="8" t="s">
        <v>199</v>
      </c>
      <c r="B149" s="8" t="s">
        <v>102</v>
      </c>
      <c r="C149" s="4">
        <v>92</v>
      </c>
      <c r="D149" s="4">
        <v>341</v>
      </c>
      <c r="E149" s="4">
        <v>8</v>
      </c>
      <c r="F149" s="4">
        <v>32</v>
      </c>
      <c r="G149" s="4">
        <v>32</v>
      </c>
      <c r="H149" s="4">
        <v>5</v>
      </c>
      <c r="I149" s="5">
        <v>5.2999999999999999E-2</v>
      </c>
      <c r="J149" s="6">
        <v>0.252</v>
      </c>
      <c r="K149" s="4">
        <v>0.13</v>
      </c>
      <c r="L149" s="4">
        <v>0.24199999999999999</v>
      </c>
      <c r="M149" s="7">
        <v>0.2</v>
      </c>
      <c r="N149" s="4">
        <v>0.24299999999999999</v>
      </c>
      <c r="O149" s="4">
        <v>0.33</v>
      </c>
      <c r="P149" s="4">
        <v>0.251</v>
      </c>
      <c r="Q149" s="4">
        <v>0.27600000000000002</v>
      </c>
      <c r="R149" s="4">
        <v>41</v>
      </c>
      <c r="S149" s="7">
        <v>0.9</v>
      </c>
      <c r="T149" s="7">
        <v>-23.3</v>
      </c>
      <c r="U149" s="4">
        <v>4.5</v>
      </c>
      <c r="V149" s="4">
        <v>-0.8</v>
      </c>
    </row>
    <row r="150" spans="1:22" ht="17" thickBot="1" x14ac:dyDescent="0.25">
      <c r="A150" s="8" t="s">
        <v>200</v>
      </c>
      <c r="B150" s="8" t="s">
        <v>25</v>
      </c>
      <c r="C150" s="4">
        <v>89</v>
      </c>
      <c r="D150" s="4">
        <v>374</v>
      </c>
      <c r="E150" s="4">
        <v>11</v>
      </c>
      <c r="F150" s="4">
        <v>31</v>
      </c>
      <c r="G150" s="4">
        <v>37</v>
      </c>
      <c r="H150" s="4">
        <v>0</v>
      </c>
      <c r="I150" s="5">
        <v>3.5000000000000003E-2</v>
      </c>
      <c r="J150" s="6">
        <v>0.20300000000000001</v>
      </c>
      <c r="K150" s="4">
        <v>0.13500000000000001</v>
      </c>
      <c r="L150" s="4">
        <v>0.23200000000000001</v>
      </c>
      <c r="M150" s="7">
        <v>0.20899999999999999</v>
      </c>
      <c r="N150" s="4">
        <v>0.249</v>
      </c>
      <c r="O150" s="4">
        <v>0.34399999999999997</v>
      </c>
      <c r="P150" s="4">
        <v>0.25800000000000001</v>
      </c>
      <c r="Q150" s="4">
        <v>0.28699999999999998</v>
      </c>
      <c r="R150" s="4">
        <v>58</v>
      </c>
      <c r="S150" s="7">
        <v>-1.8</v>
      </c>
      <c r="T150" s="7">
        <v>-20.399999999999999</v>
      </c>
      <c r="U150" s="4">
        <v>-7.6</v>
      </c>
      <c r="V150" s="4">
        <v>-1.5</v>
      </c>
    </row>
  </sheetData>
  <hyperlinks>
    <hyperlink ref="A2" r:id="rId1" display="https://www.fangraphs.com/players/pete-crow-armstrong/27769/stats?position=OF" xr:uid="{53A0DE5E-F80E-4682-B849-DF29220DB472}"/>
    <hyperlink ref="B2" r:id="rId2" display="https://www.fangraphs.com/leaders/major-league?pageitems=2000000000&amp;team=17" xr:uid="{A528FD80-D539-4639-9BA6-17AA839CDAB2}"/>
    <hyperlink ref="A3" r:id="rId3" display="https://www.fangraphs.com/players/bobby-witt-jr/25764/stats?position=SS" xr:uid="{B8E10DFA-F271-48A6-8025-E3F74B4E56CF}"/>
    <hyperlink ref="B3" r:id="rId4" display="https://www.fangraphs.com/leaders/major-league?pageitems=2000000000&amp;team=7" xr:uid="{A2703F72-1FC6-4822-A602-17E240079255}"/>
    <hyperlink ref="A4" r:id="rId5" display="https://www.fangraphs.com/players/james-wood/29518/stats?position=OF" xr:uid="{3D98CB6B-D6B6-478F-8B1A-942018B3881D}"/>
    <hyperlink ref="B4" r:id="rId6" display="https://www.fangraphs.com/leaders/major-league?pageitems=2000000000&amp;team=24" xr:uid="{9D28E12C-447F-479A-88F5-7826DF5C2B91}"/>
    <hyperlink ref="A5" r:id="rId7" display="https://www.fangraphs.com/players/yordan-alvarez/19556/stats?position=DH%2FOF" xr:uid="{A5139AC8-CE62-4A3C-A856-ACE87B1A6D7A}"/>
    <hyperlink ref="B5" r:id="rId8" display="https://www.fangraphs.com/leaders/major-league?pageitems=2000000000&amp;team=21" xr:uid="{49F11E5E-C876-4D9C-968E-EA061197B26B}"/>
    <hyperlink ref="A6" r:id="rId9" display="https://www.fangraphs.com/players/otto-lopez/19608/stats?position=2B%2FSS" xr:uid="{C1BDD353-339D-486B-ABE2-5796843576F7}"/>
    <hyperlink ref="B6" r:id="rId10" display="https://www.fangraphs.com/leaders/major-league?pageitems=2000000000&amp;team=20" xr:uid="{D303DAA8-F110-45C8-A13A-6BE790EB5E33}"/>
    <hyperlink ref="A7" r:id="rId11" display="https://www.fangraphs.com/players/kevin-mcgonigle/33572/stats?position=3B%2FSS" xr:uid="{5C5150CF-6FB9-44B7-AA29-07AF152E5757}"/>
    <hyperlink ref="B7" r:id="rId12" display="https://www.fangraphs.com/leaders/major-league?pageitems=2000000000&amp;team=6" xr:uid="{98A5AB47-26A0-4C59-A524-CE5516E50BF6}"/>
    <hyperlink ref="A8" r:id="rId13" display="https://www.fangraphs.com/players/dillon-dingler/27464/stats?position=C" xr:uid="{DCC7058D-097E-49D6-9B2F-D3379E8C5D08}"/>
    <hyperlink ref="B8" r:id="rId14" display="https://www.fangraphs.com/leaders/major-league?pageitems=2000000000&amp;team=6" xr:uid="{944329C1-F673-4DE0-A698-06FC6801FC0E}"/>
    <hyperlink ref="A9" r:id="rId15" display="https://www.fangraphs.com/players/luis-arraez/18568/stats?position=1B%2F2B" xr:uid="{C32B3B03-529F-4C15-81D4-08866316704B}"/>
    <hyperlink ref="B9" r:id="rId16" display="https://www.fangraphs.com/leaders/major-league?pageitems=2000000000&amp;team=30" xr:uid="{EC87C9A7-052D-4515-8CB1-55067B30AF11}"/>
    <hyperlink ref="A10" r:id="rId17" display="https://www.fangraphs.com/players/jj-wetherholt/34985/stats?position=2B" xr:uid="{F2244BFE-A7BE-463A-B0B3-7A69EA9EB361}"/>
    <hyperlink ref="B10" r:id="rId18" display="https://www.fangraphs.com/leaders/major-league?pageitems=2000000000&amp;team=28" xr:uid="{8580CA5F-1B10-4020-85D4-00BCCF64D711}"/>
    <hyperlink ref="A11" r:id="rId19" display="https://www.fangraphs.com/players/brice-turang/22186/stats?position=2B" xr:uid="{783D94CE-7F5D-481A-959C-510751F96392}"/>
    <hyperlink ref="B11" r:id="rId20" display="https://www.fangraphs.com/leaders/major-league?pageitems=2000000000&amp;team=23" xr:uid="{1AE4ABB0-8EB6-4AE6-B72E-4E6FF8E7AB3C}"/>
    <hyperlink ref="A12" r:id="rId21" display="https://www.fangraphs.com/players/shohei-ohtani/19755/stats?position=DH" xr:uid="{539B08CF-FA6B-48C2-9EEA-A830A5BEA8A0}"/>
    <hyperlink ref="B12" r:id="rId22" display="https://www.fangraphs.com/leaders/major-league?pageitems=2000000000&amp;team=22" xr:uid="{800CCF9D-74C1-4F8B-893C-0E3AC0FE615A}"/>
    <hyperlink ref="A13" r:id="rId23" display="https://www.fangraphs.com/players/junior-caminero/28163/stats?position=3B" xr:uid="{C4183629-455D-440C-BE55-6E22231F8452}"/>
    <hyperlink ref="B13" r:id="rId24" display="https://www.fangraphs.com/leaders/major-league?pageitems=2000000000&amp;team=12" xr:uid="{F1612184-EB40-40E7-BEFA-F06DEF0481A3}"/>
    <hyperlink ref="A14" r:id="rId25" display="https://www.fangraphs.com/players/miguel-vargas/20178/stats?position=3B" xr:uid="{3FCA4A42-282C-4B01-99CB-3E6746826DA8}"/>
    <hyperlink ref="B14" r:id="rId26" display="https://www.fangraphs.com/leaders/major-league?pageitems=2000000000&amp;team=4" xr:uid="{B17A92ED-121A-4BF4-BCCB-8C16DD00F3CF}"/>
    <hyperlink ref="A15" r:id="rId27" display="https://www.fangraphs.com/players/ben-rice/29576/stats?position=1B%2FDH" xr:uid="{7C80C486-EE23-462B-A80B-E5D3927544B7}"/>
    <hyperlink ref="B15" r:id="rId28" display="https://www.fangraphs.com/leaders/major-league?pageitems=2000000000&amp;team=9" xr:uid="{910A20BE-8270-40B7-B135-A087DC17E73F}"/>
    <hyperlink ref="A16" r:id="rId29" display="https://www.fangraphs.com/players/elly-de-la-cruz/26668/stats?position=SS" xr:uid="{94FE707D-82C4-45F1-9E34-C3BE1676A75C}"/>
    <hyperlink ref="B16" r:id="rId30" display="https://www.fangraphs.com/leaders/major-league?pageitems=2000000000&amp;team=18" xr:uid="{D9B70D53-1C86-422E-8B28-48779482F5BF}"/>
    <hyperlink ref="A17" r:id="rId31" display="https://www.fangraphs.com/players/andy-pages/24816/stats?position=OF" xr:uid="{0CB66AF3-A97E-43C5-83C8-4AE5AE93567F}"/>
    <hyperlink ref="B17" r:id="rId32" display="https://www.fangraphs.com/leaders/major-league?pageitems=2000000000&amp;team=22" xr:uid="{5F181E70-541F-4C03-94A2-248E5B773D8E}"/>
    <hyperlink ref="A18" r:id="rId33" display="https://www.fangraphs.com/players/corbin-carroll/25878/stats?position=OF" xr:uid="{DBDAF2BC-565F-4DC7-8A6D-CF6911593127}"/>
    <hyperlink ref="B18" r:id="rId34" display="https://www.fangraphs.com/leaders/major-league?pageitems=2000000000&amp;team=15" xr:uid="{6E190C00-5BDE-42D3-BA68-D258716A3CF7}"/>
    <hyperlink ref="A19" r:id="rId35" display="https://www.fangraphs.com/players/nick-kurtz/35110/stats?position=1B" xr:uid="{44E7E8DD-76F4-4610-926F-71C84AD802E0}"/>
    <hyperlink ref="B19" r:id="rId36" display="https://www.fangraphs.com/leaders/major-league?pageitems=2000000000&amp;team=10" xr:uid="{C7DD198F-1364-4C0C-8E0A-2BE55EE657BE}"/>
    <hyperlink ref="A20" r:id="rId37" display="https://www.fangraphs.com/players/bryan-reynolds/19326/stats?position=OF" xr:uid="{C044C11A-6605-4ACB-83A8-809746CB7BA8}"/>
    <hyperlink ref="B20" r:id="rId38" display="https://www.fangraphs.com/leaders/major-league?pageitems=2000000000&amp;team=27" xr:uid="{D57A9517-8068-48EB-ABC4-C23BE600381B}"/>
    <hyperlink ref="A21" r:id="rId39" display="https://www.fangraphs.com/players/juan-soto/20123/stats?position=OF" xr:uid="{D3097833-EC14-4286-901D-18F684472733}"/>
    <hyperlink ref="B21" r:id="rId40" display="https://www.fangraphs.com/leaders/major-league?pageitems=2000000000&amp;team=25" xr:uid="{DCADA1D3-6236-44BC-8FF4-EC587A477368}"/>
    <hyperlink ref="A22" r:id="rId41" display="https://www.fangraphs.com/players/brayan-rocchio/23690/stats?position=SS" xr:uid="{0891A354-8AAE-419C-88BE-8CD73E44B221}"/>
    <hyperlink ref="B22" r:id="rId42" display="https://www.fangraphs.com/leaders/major-league?pageitems=2000000000&amp;team=5" xr:uid="{07E86725-35A0-4A31-A9DA-E85C1B944687}"/>
    <hyperlink ref="A23" r:id="rId43" display="https://www.fangraphs.com/players/byron-buxton/14161/stats?position=OF" xr:uid="{1C74E277-F52F-4CE2-B14E-FAE1CE78D686}"/>
    <hyperlink ref="B23" r:id="rId44" display="https://www.fangraphs.com/leaders/major-league?pageitems=2000000000&amp;team=8" xr:uid="{37A596BB-B136-4955-9035-CA1A09660535}"/>
    <hyperlink ref="A24" r:id="rId45" display="https://www.fangraphs.com/players/max-muncy/13301/stats?position=1B%2F3B" xr:uid="{D99EED36-BD62-4764-AE31-63E1CEDFB595}"/>
    <hyperlink ref="B24" r:id="rId46" display="https://www.fangraphs.com/leaders/major-league?pageitems=2000000000&amp;team=22" xr:uid="{B5EC15A0-8051-4872-8547-74FB9C746080}"/>
    <hyperlink ref="A25" r:id="rId47" display="https://www.fangraphs.com/players/ceddanne-rafaela/24262/stats?position=OF" xr:uid="{DB5DDBD3-0F74-4D0F-B0E2-326947F62477}"/>
    <hyperlink ref="B25" r:id="rId48" display="https://www.fangraphs.com/leaders/major-league?pageitems=2000000000&amp;team=3" xr:uid="{0A06A3D7-CF1D-4501-AC87-79745717DEDA}"/>
    <hyperlink ref="A26" r:id="rId49" display="https://www.fangraphs.com/players/xavier-edwards/22266/stats?position=2B%2FSS" xr:uid="{CCE3FA3E-0C07-4D9C-ADED-4AF2DD4131D3}"/>
    <hyperlink ref="B26" r:id="rId50" display="https://www.fangraphs.com/leaders/major-league?pageitems=2000000000&amp;team=20" xr:uid="{7855EBDC-244E-4D10-80C0-52CBA034513E}"/>
    <hyperlink ref="A27" r:id="rId51" display="https://www.fangraphs.com/players/randy-arozarena/19290/stats?position=OF" xr:uid="{36F3E40B-D1AB-425C-AE92-55F76166A841}"/>
    <hyperlink ref="B27" r:id="rId52" display="https://www.fangraphs.com/leaders/major-league?pageitems=2000000000&amp;team=11" xr:uid="{281CA540-EB62-4946-958E-05094662573C}"/>
    <hyperlink ref="A28" r:id="rId53" display="https://www.fangraphs.com/players/matt-olson/14344/stats?position=1B" xr:uid="{FBE3FE81-D3C6-4490-9BE8-986880877200}"/>
    <hyperlink ref="B28" r:id="rId54" display="https://www.fangraphs.com/leaders/major-league?pageitems=2000000000&amp;team=16" xr:uid="{646CF5D3-000B-445C-92B3-4FEE7AAB6F5F}"/>
    <hyperlink ref="A29" r:id="rId55" display="https://www.fangraphs.com/players/willson-contreras/11609/stats?position=C" xr:uid="{74491F69-2127-4BA2-B671-CE608CAE4B83}"/>
    <hyperlink ref="B29" r:id="rId56" display="https://www.fangraphs.com/leaders/major-league?pageitems=2000000000&amp;team=3" xr:uid="{32BB8BAC-FF35-4942-8517-02E14D64439B}"/>
    <hyperlink ref="A30" r:id="rId57" display="https://www.fangraphs.com/players/freddie-freeman/5361/stats?position=1B" xr:uid="{AFBB1F22-46AB-44E6-86A8-C1A068A29B2C}"/>
    <hyperlink ref="B30" r:id="rId58" display="https://www.fangraphs.com/leaders/major-league?pageitems=2000000000&amp;team=22" xr:uid="{2E99B093-7D65-42A8-9ED1-00450725E259}"/>
    <hyperlink ref="A31" r:id="rId59" display="https://www.fangraphs.com/players/jordan-walker/27475/stats?position=OF" xr:uid="{B415EEA0-7CF8-4FE5-928E-6BD501773471}"/>
    <hyperlink ref="B31" r:id="rId60" display="https://www.fangraphs.com/leaders/major-league?pageitems=2000000000&amp;team=28" xr:uid="{65B192B2-4432-4F12-934D-F709D2FCA203}"/>
    <hyperlink ref="A32" r:id="rId61" display="https://www.fangraphs.com/players/josh-jung/26299/stats?position=3B" xr:uid="{D87228E5-4979-4FEF-8492-354AF513EF30}"/>
    <hyperlink ref="B32" r:id="rId62" display="https://www.fangraphs.com/leaders/major-league?pageitems=2000000000&amp;team=13" xr:uid="{F8D4627C-9ED7-4C80-9033-2844A8D2CA71}"/>
    <hyperlink ref="A33" r:id="rId63" display="https://www.fangraphs.com/players/riley-greene/25976/stats?position=OF" xr:uid="{5E1DC566-C79B-478C-A408-DA76C18CDD4A}"/>
    <hyperlink ref="B33" r:id="rId64" display="https://www.fangraphs.com/leaders/major-league?pageitems=2000000000&amp;team=6" xr:uid="{626CB161-791A-4B15-A304-A4349A943E0B}"/>
    <hyperlink ref="A34" r:id="rId65" display="https://www.fangraphs.com/players/brandon-lowe/18882/stats?position=2B" xr:uid="{2DC737AB-0F50-42DD-9A78-83E1FA2878E0}"/>
    <hyperlink ref="B34" r:id="rId66" display="https://www.fangraphs.com/leaders/major-league?pageitems=2000000000&amp;team=27" xr:uid="{91F4D4DF-82EB-4565-83C9-9454A79B856A}"/>
    <hyperlink ref="A35" r:id="rId67" display="https://www.fangraphs.com/players/kyle-schwarber/16478/stats?position=DH%2FOF" xr:uid="{E7249936-8557-4964-9488-BA547C55AF26}"/>
    <hyperlink ref="B35" r:id="rId68" display="https://www.fangraphs.com/leaders/major-league?pageitems=2000000000&amp;team=26" xr:uid="{DBEDB442-3CF9-42BE-8D55-464E07DC5C98}"/>
    <hyperlink ref="A36" r:id="rId69" display="https://www.fangraphs.com/players/cody-bellinger/15998/stats?position=1B%2FOF" xr:uid="{092B9EF7-48FB-4CA4-97F4-E1E0924FC090}"/>
    <hyperlink ref="B36" r:id="rId70" display="https://www.fangraphs.com/leaders/major-league?pageitems=2000000000&amp;team=9" xr:uid="{0B5CECC2-C371-4607-A422-5B0446AAA65A}"/>
    <hyperlink ref="A37" r:id="rId71" display="https://www.fangraphs.com/players/yandy-diaz/16578/stats?position=1B%2F3B%2FDH" xr:uid="{244C5AAB-5E78-466D-8877-00D63587B727}"/>
    <hyperlink ref="B37" r:id="rId72" display="https://www.fangraphs.com/leaders/major-league?pageitems=2000000000&amp;team=12" xr:uid="{FA34183E-520A-408D-8610-6BA8BEE3676C}"/>
    <hyperlink ref="A38" r:id="rId73" display="https://www.fangraphs.com/players/cj-abrams/25768/stats?position=SS" xr:uid="{E4C968E2-294E-4ABC-A72D-4846B4B71CF2}"/>
    <hyperlink ref="B38" r:id="rId74" display="https://www.fangraphs.com/leaders/major-league?pageitems=2000000000&amp;team=24" xr:uid="{380D2E31-42AC-43E1-BB2B-883522EEBF61}"/>
    <hyperlink ref="A39" r:id="rId75" display="https://www.fangraphs.com/players/michael-harris-ii/25931/stats?position=OF" xr:uid="{567C645E-8146-4E34-97E7-A0CDFA0D9229}"/>
    <hyperlink ref="B39" r:id="rId76" display="https://www.fangraphs.com/leaders/major-league?pageitems=2000000000&amp;team=16" xr:uid="{4015AD7B-25B7-49AB-A343-87A46A31C5E6}"/>
    <hyperlink ref="A40" r:id="rId77" display="https://www.fangraphs.com/players/mike-trout/10155/stats?position=OF" xr:uid="{FF559F25-7158-4342-8881-AD1C965791F7}"/>
    <hyperlink ref="B40" r:id="rId78" display="https://www.fangraphs.com/leaders/major-league?pageitems=2000000000&amp;team=1" xr:uid="{F5491B9D-AB7D-4245-A123-2C701EA46B09}"/>
    <hyperlink ref="A41" r:id="rId79" display="https://www.fangraphs.com/players/jonathan-aranda/21837/stats?position=1B" xr:uid="{92E9DC7B-308D-44A3-9DDB-0BACCA5BD540}"/>
    <hyperlink ref="B41" r:id="rId80" display="https://www.fangraphs.com/leaders/major-league?pageitems=2000000000&amp;team=12" xr:uid="{E75E86DF-AF52-4709-A3E4-4527992D47F5}"/>
    <hyperlink ref="A42" r:id="rId81" display="https://www.fangraphs.com/players/ezequiel-duran/23733/stats?position=3B" xr:uid="{BB961A37-9993-41EF-A8DA-A25CAC99C327}"/>
    <hyperlink ref="B42" r:id="rId82" display="https://www.fangraphs.com/leaders/major-league?pageitems=2000000000&amp;team=13" xr:uid="{1FADFE49-E1F1-440C-A71C-C5122B1D3F91}"/>
    <hyperlink ref="A43" r:id="rId83" display="https://www.fangraphs.com/players/colson-montgomery/29712/stats?position=SS" xr:uid="{3C5494DE-A700-4537-85F1-6F1F93D9B427}"/>
    <hyperlink ref="B43" r:id="rId84" display="https://www.fangraphs.com/leaders/major-league?pageitems=2000000000&amp;team=4" xr:uid="{592A4AFE-DF0C-442E-AF50-027073AB97A6}"/>
    <hyperlink ref="A44" r:id="rId85" display="https://www.fangraphs.com/players/dansby-swanson/18314/stats?position=SS" xr:uid="{0408650E-6964-450A-8F46-07AFB0FDD291}"/>
    <hyperlink ref="B44" r:id="rId86" display="https://www.fangraphs.com/leaders/major-league?pageitems=2000000000&amp;team=17" xr:uid="{79CCE30F-BD2E-4700-9AF3-5C31D076F5EE}"/>
    <hyperlink ref="A45" r:id="rId87" display="https://www.fangraphs.com/players/pete-alonso/19251/stats?position=1B" xr:uid="{B8D06D16-5A7C-4069-A102-DEB306983F2A}"/>
    <hyperlink ref="B45" r:id="rId88" display="https://www.fangraphs.com/leaders/major-league?pageitems=2000000000&amp;team=2" xr:uid="{D38E8595-D088-4435-AF3A-D7D5C4D0F568}"/>
    <hyperlink ref="A46" r:id="rId89" display="https://www.fangraphs.com/players/jose-ramirez/13510/stats?position=3B" xr:uid="{73CDBD23-2C37-4976-9944-984BAAB4F1B0}"/>
    <hyperlink ref="B46" r:id="rId90" display="https://www.fangraphs.com/leaders/major-league?pageitems=2000000000&amp;team=5" xr:uid="{8E7776A8-8F87-4BBF-908C-CD3C513477FC}"/>
    <hyperlink ref="A47" r:id="rId91" display="https://www.fangraphs.com/players/kazuma-okamoto/37123/stats?position=3B" xr:uid="{48C332DF-997B-4436-B026-C7FEC7BF6ADA}"/>
    <hyperlink ref="B47" r:id="rId92" display="https://www.fangraphs.com/leaders/major-league?pageitems=2000000000&amp;team=14" xr:uid="{9A7ABE7C-BFA3-407C-A3BF-F6B39B86804B}"/>
    <hyperlink ref="A48" r:id="rId93" display="https://www.fangraphs.com/players/shea-langeliers/25816/stats?position=C" xr:uid="{AD4EA241-C61F-40D4-BCC0-EA2BE07B700A}"/>
    <hyperlink ref="B48" r:id="rId94" display="https://www.fangraphs.com/leaders/major-league?pageitems=2000000000&amp;team=10" xr:uid="{05C0A99A-CB36-43A9-B8DB-34FD6B87F6F8}"/>
    <hyperlink ref="A49" r:id="rId95" display="https://www.fangraphs.com/players/jazz-chisholm-jr/20454/stats?position=2B%2FOF" xr:uid="{D84D7BE3-5CF5-41ED-A29D-5FDEFD582F12}"/>
    <hyperlink ref="B49" r:id="rId96" display="https://www.fangraphs.com/leaders/major-league?pageitems=2000000000&amp;team=9" xr:uid="{C37D00D6-2A13-46C1-A012-178B1FB2B183}"/>
    <hyperlink ref="A50" r:id="rId97" display="https://www.fangraphs.com/players/isaac-paredes/20036/stats?position=3B" xr:uid="{26DC496A-7248-43C5-8037-069983D04952}"/>
    <hyperlink ref="B50" r:id="rId98" display="https://www.fangraphs.com/leaders/major-league?pageitems=2000000000&amp;team=21" xr:uid="{E9CB2490-4CB6-469E-AFC9-03D5BF865618}"/>
    <hyperlink ref="A51" r:id="rId99" display="https://www.fangraphs.com/players/mauricio-dubon/16530/stats?position=OF" xr:uid="{C888AF52-7282-492D-8D7C-71ABCD35302C}"/>
    <hyperlink ref="B51" r:id="rId100" display="https://www.fangraphs.com/leaders/major-league?pageitems=2000000000&amp;team=16" xr:uid="{93CA2A0F-203C-4047-8B58-F132319E7FD1}"/>
    <hyperlink ref="A52" r:id="rId101" display="https://www.fangraphs.com/players/geraldo-perdomo/22799/stats?position=SS" xr:uid="{9FB55129-001A-47A1-82D9-BFA9283F2493}"/>
    <hyperlink ref="B52" r:id="rId102" display="https://www.fangraphs.com/leaders/major-league?pageitems=2000000000&amp;team=15" xr:uid="{CADEF5ED-7493-4123-844C-AE2B3E4BE610}"/>
    <hyperlink ref="A53" r:id="rId103" display="https://www.fangraphs.com/players/hunter-goodman/29715/stats?position=C" xr:uid="{A967FD05-3AB8-475B-AD35-B40B24123B47}"/>
    <hyperlink ref="B53" r:id="rId104" display="https://www.fangraphs.com/leaders/major-league?pageitems=2000000000&amp;team=19" xr:uid="{A84FA443-9EB9-4582-9FE2-8F2067C9D50B}"/>
    <hyperlink ref="A54" r:id="rId105" display="https://www.fangraphs.com/players/zach-neto/31347/stats?position=SS" xr:uid="{5E0FB808-CD97-48A9-A9A8-D9BA9A2FF713}"/>
    <hyperlink ref="B54" r:id="rId106" display="https://www.fangraphs.com/leaders/major-league?pageitems=2000000000&amp;team=1" xr:uid="{00F025E1-8C44-4867-A83C-68F266087B19}"/>
    <hyperlink ref="A55" r:id="rId107" display="https://www.fangraphs.com/players/jake-bauers/15194/stats?position=1B%2FOF" xr:uid="{8499EF58-CC66-4D3D-83E0-AE77468CC546}"/>
    <hyperlink ref="B55" r:id="rId108" display="https://www.fangraphs.com/leaders/major-league?pageitems=2000000000&amp;team=23" xr:uid="{6C518156-35DE-43F1-A7F0-638240A63764}"/>
    <hyperlink ref="A56" r:id="rId109" display="https://www.fangraphs.com/players/garrett-mitchell/27555/stats?position=OF" xr:uid="{63700128-90BB-4C50-9867-BC1889CB2C89}"/>
    <hyperlink ref="B56" r:id="rId110" display="https://www.fangraphs.com/leaders/major-league?pageitems=2000000000&amp;team=23" xr:uid="{0C9ECBA0-513E-4E10-9894-D7E257D4CCF2}"/>
    <hyperlink ref="A57" r:id="rId111" display="https://www.fangraphs.com/players/wilyer-abreu/23772/stats?position=OF" xr:uid="{05B804B9-7833-406C-BADE-E0074DFCB79A}"/>
    <hyperlink ref="B57" r:id="rId112" display="https://www.fangraphs.com/leaders/major-league?pageitems=2000000000&amp;team=3" xr:uid="{BFAA7AF7-187F-4862-8BDD-67F2B338C499}"/>
    <hyperlink ref="A58" r:id="rId113" display="https://www.fangraphs.com/players/gunnar-henderson/26289/stats?position=SS" xr:uid="{FA0ACE38-7D4F-411E-B1B0-7E227B530CC9}"/>
    <hyperlink ref="B58" r:id="rId114" display="https://www.fangraphs.com/leaders/major-league?pageitems=2000000000&amp;team=2" xr:uid="{C1C9B4EA-89BC-4BDB-AAE7-33710523AA94}"/>
    <hyperlink ref="A59" r:id="rId115" display="https://www.fangraphs.com/players/seiya-suzuki/30116/stats?position=DH%2FOF" xr:uid="{3721C960-CA13-490B-A1B3-DEBD57238344}"/>
    <hyperlink ref="B59" r:id="rId116" display="https://www.fangraphs.com/leaders/major-league?pageitems=2000000000&amp;team=17" xr:uid="{8DB83E0B-154C-41B3-8F17-CE497EDC0321}"/>
    <hyperlink ref="A60" r:id="rId117" display="https://www.fangraphs.com/players/nick-gonzales/27490/stats?position=2B" xr:uid="{A9A23057-B117-4C1B-B575-E1BDE19AB0E8}"/>
    <hyperlink ref="B60" r:id="rId118" display="https://www.fangraphs.com/leaders/major-league?pageitems=2000000000&amp;team=27" xr:uid="{738FE5E9-F4DB-4EE5-A34B-BF231F178FFC}"/>
    <hyperlink ref="A61" r:id="rId119" display="https://www.fangraphs.com/players/julio-rodriguez/23697/stats?position=OF" xr:uid="{C5E07E1F-45AC-4A5A-BEDB-0A2E0B9778EF}"/>
    <hyperlink ref="B61" r:id="rId120" display="https://www.fangraphs.com/leaders/major-league?pageitems=2000000000&amp;team=11" xr:uid="{64FA44DD-0444-4B76-B727-16254975214E}"/>
    <hyperlink ref="A62" r:id="rId121" display="https://www.fangraphs.com/players/casey-schmitt/27577/stats?position=2B%2F3B" xr:uid="{BBAD464E-C7D9-4966-A4FC-A33A7E851B35}"/>
    <hyperlink ref="B62" r:id="rId122" display="https://www.fangraphs.com/leaders/major-league?pageitems=2000000000&amp;team=30" xr:uid="{0A650C22-1D6C-44D7-B64B-5B9103AF90B4}"/>
    <hyperlink ref="A63" r:id="rId123" display="https://www.fangraphs.com/players/ketel-marte/13613/stats?position=2B" xr:uid="{6351CCA5-C08D-4C8C-BC99-2B7DB0B8AF03}"/>
    <hyperlink ref="B63" r:id="rId124" display="https://www.fangraphs.com/leaders/major-league?pageitems=2000000000&amp;team=15" xr:uid="{ACD3B8E4-E131-40A1-9255-AA20D09C1CAD}"/>
    <hyperlink ref="A64" r:id="rId125" display="https://www.fangraphs.com/players/luis-garcia-jr/20391/stats?position=2B" xr:uid="{B95A280C-0EEB-462A-A19E-6DBAD084E59D}"/>
    <hyperlink ref="B64" r:id="rId126" display="https://www.fangraphs.com/leaders/major-league?pageitems=2000000000&amp;team=24" xr:uid="{EB0AFE1F-6991-432D-97F6-CC90A1C3253D}"/>
    <hyperlink ref="A65" r:id="rId127" display="https://www.fangraphs.com/players/fernando-tatis-jr/19709/stats?position=SS%2FOF" xr:uid="{259E1E2B-9153-4D5D-AAE3-A5C39A67806F}"/>
    <hyperlink ref="B65" r:id="rId128" display="https://www.fangraphs.com/leaders/major-league?pageitems=2000000000&amp;team=29" xr:uid="{77FD50E1-E346-4643-BE76-23F805018A2F}"/>
    <hyperlink ref="A66" r:id="rId129" display="https://www.fangraphs.com/players/michael-busch/26319/stats?position=1B" xr:uid="{96393A82-F415-485E-BCAC-B97212B47133}"/>
    <hyperlink ref="B66" r:id="rId130" display="https://www.fangraphs.com/leaders/major-league?pageitems=2000000000&amp;team=17" xr:uid="{AB4761C9-EA0C-409C-ABE7-F0BF9C0434F7}"/>
    <hyperlink ref="A67" r:id="rId131" display="https://www.fangraphs.com/players/chase-meidroth/31580/stats?position=2B%2FSS" xr:uid="{D4EBCE56-86A2-49C5-B210-9737E07559C7}"/>
    <hyperlink ref="B67" r:id="rId132" display="https://www.fangraphs.com/leaders/major-league?pageitems=2000000000&amp;team=4" xr:uid="{0CB2E91C-E23B-4A57-8648-D7A7ACA9086B}"/>
    <hyperlink ref="A68" r:id="rId133" display="https://www.fangraphs.com/players/kyle-karros/33252/stats?position=3B" xr:uid="{C1D2871D-83A6-44D4-9C1C-24C029CDC9E9}"/>
    <hyperlink ref="B68" r:id="rId134" display="https://www.fangraphs.com/leaders/major-league?pageitems=2000000000&amp;team=19" xr:uid="{1EBBEAD0-F7C1-463E-9543-55105E711CC4}"/>
    <hyperlink ref="A69" r:id="rId135" display="https://www.fangraphs.com/players/tj-rumfield/29805/stats?position=1B" xr:uid="{31867A25-08A7-4205-A87C-1E06BB4D12AB}"/>
    <hyperlink ref="B69" r:id="rId136" display="https://www.fangraphs.com/leaders/major-league?pageitems=2000000000&amp;team=19" xr:uid="{D2D9F21C-CD6A-41C3-9192-73C39BE6B5A2}"/>
    <hyperlink ref="A70" r:id="rId137" display="https://www.fangraphs.com/players/alec-burleson/27615/stats?position=1B%2FOF" xr:uid="{516070E7-60AA-48B1-AA97-8D57BBD82C31}"/>
    <hyperlink ref="B70" r:id="rId138" display="https://www.fangraphs.com/leaders/major-league?pageitems=2000000000&amp;team=28" xr:uid="{BAF63AC3-E7E3-4D7C-B9F1-7886E6EF11AC}"/>
    <hyperlink ref="A71" r:id="rId139" display="https://www.fangraphs.com/players/sal-stewart/31505/stats?position=1B%2F3B" xr:uid="{51D60426-D84C-401F-A487-5442E632F59A}"/>
    <hyperlink ref="B71" r:id="rId140" display="https://www.fangraphs.com/leaders/major-league?pageitems=2000000000&amp;team=18" xr:uid="{BB3E43BB-8F61-4C4F-8978-99C5D000E6DB}"/>
    <hyperlink ref="A72" r:id="rId141" display="https://www.fangraphs.com/players/alex-bregman/17678/stats?position=3B" xr:uid="{B4CE4748-FA67-4AF4-ADD2-22FC3ECF9DF7}"/>
    <hyperlink ref="B72" r:id="rId142" display="https://www.fangraphs.com/leaders/major-league?pageitems=2000000000&amp;team=17" xr:uid="{DB158188-1BF1-4343-B693-62C4467B3D5E}"/>
    <hyperlink ref="A73" r:id="rId143" display="https://www.fangraphs.com/players/liam-hicks/29844/stats?position=C%2F1B%2FDH" xr:uid="{F7E5EF04-F103-4D75-8551-DC13BFDD6449}"/>
    <hyperlink ref="B73" r:id="rId144" display="https://www.fangraphs.com/leaders/major-league?pageitems=2000000000&amp;team=20" xr:uid="{6F172281-010A-47B6-9E47-F7137C0C9C40}"/>
    <hyperlink ref="A74" r:id="rId145" display="https://www.fangraphs.com/players/chase-delauter/32127/stats?position=DH%2FOF" xr:uid="{C15C8167-BA0A-4B95-90FE-523DC933ECBB}"/>
    <hyperlink ref="B74" r:id="rId146" display="https://www.fangraphs.com/leaders/major-league?pageitems=2000000000&amp;team=5" xr:uid="{1A396D2F-5232-4E65-9075-F3A3B406334C}"/>
    <hyperlink ref="A75" r:id="rId147" display="https://www.fangraphs.com/players/bryce-harper/11579/stats?position=OF" xr:uid="{2CF76A47-49F7-4487-A726-ACC27531575E}"/>
    <hyperlink ref="B75" r:id="rId148" display="https://www.fangraphs.com/leaders/major-league?pageitems=2000000000&amp;team=26" xr:uid="{5DE43DD1-0B1D-4759-9516-C20473DC9A01}"/>
    <hyperlink ref="A76" r:id="rId149" display="https://www.fangraphs.com/players/cole-young/31680/stats?position=2B" xr:uid="{CD61CA0D-E2E4-4B68-AC0B-A74A27689A20}"/>
    <hyperlink ref="B76" r:id="rId150" display="https://www.fangraphs.com/leaders/major-league?pageitems=2000000000&amp;team=11" xr:uid="{7D3DD9DD-1025-43ED-B29F-7E18362C5076}"/>
    <hyperlink ref="A77" r:id="rId151" display="https://www.fangraphs.com/players/ian-happ/17919/stats?position=OF" xr:uid="{D7944268-D416-4859-B150-C48E70F44C45}"/>
    <hyperlink ref="B77" r:id="rId152" display="https://www.fangraphs.com/leaders/major-league?pageitems=2000000000&amp;team=17" xr:uid="{BED305A7-D846-4DEA-8D61-F5DE8EC22606}"/>
    <hyperlink ref="A78" r:id="rId153" display="https://www.fangraphs.com/players/ozzie-albies/16556/stats?position=2B" xr:uid="{6FF1714E-F71D-42F5-A0BA-C24B97253B4E}"/>
    <hyperlink ref="B78" r:id="rId154" display="https://www.fangraphs.com/leaders/major-league?pageitems=2000000000&amp;team=16" xr:uid="{6B6ECCA4-1DED-422A-8459-608CA2333952}"/>
    <hyperlink ref="A79" r:id="rId155" display="https://www.fangraphs.com/players/jake-mccarthy/21622/stats?position=OF" xr:uid="{F4C78AA4-60DC-4F44-A186-7A45DD54252F}"/>
    <hyperlink ref="B79" r:id="rId156" display="https://www.fangraphs.com/leaders/major-league?pageitems=2000000000&amp;team=19" xr:uid="{3E9B636C-FFAC-4676-8109-401681E23ED7}"/>
    <hyperlink ref="A80" r:id="rId157" display="https://www.fangraphs.com/players/carson-benge/35177/stats?position=OF" xr:uid="{E9E1126D-6468-4E5B-91D6-3362176F4240}"/>
    <hyperlink ref="B80" r:id="rId158" display="https://www.fangraphs.com/leaders/major-league?pageitems=2000000000&amp;team=25" xr:uid="{E85032C1-6375-4987-8C82-ECB8D15A7B22}"/>
    <hyperlink ref="A81" r:id="rId159" display="https://www.fangraphs.com/players/xander-bogaerts/12161/stats?position=SS" xr:uid="{3B103E9B-A95E-4B48-B2D8-659A88C335B2}"/>
    <hyperlink ref="B81" r:id="rId160" display="https://www.fangraphs.com/leaders/major-league?pageitems=2000000000&amp;team=29" xr:uid="{6A7DEF0A-5D12-4E22-A679-5AC3F014DD0D}"/>
    <hyperlink ref="A82" r:id="rId161" display="https://www.fangraphs.com/players/william-contreras/20503/stats?position=C" xr:uid="{33056452-5CCC-4D97-9506-3149A8242A97}"/>
    <hyperlink ref="B82" r:id="rId162" display="https://www.fangraphs.com/leaders/major-league?pageitems=2000000000&amp;team=23" xr:uid="{7D3104CF-D1D4-405C-AEC9-C52248B2958E}"/>
    <hyperlink ref="A83" r:id="rId163" display="https://www.fangraphs.com/players/taylor-ward/17548/stats?position=OF" xr:uid="{BA8716AB-DFD8-4BDB-99BF-7B18ED7B1417}"/>
    <hyperlink ref="B83" r:id="rId164" display="https://www.fangraphs.com/leaders/major-league?pageitems=2000000000&amp;team=2" xr:uid="{D8DC5A31-3E8D-42FD-8FB4-85FD57ED6A85}"/>
    <hyperlink ref="A84" r:id="rId165" display="https://www.fangraphs.com/players/brandon-marsh/20202/stats?position=OF" xr:uid="{53B4B26E-FCAE-434F-A8D9-2B1D249BB3B9}"/>
    <hyperlink ref="B84" r:id="rId166" display="https://www.fangraphs.com/leaders/major-league?pageitems=2000000000&amp;team=26" xr:uid="{96F7F072-A1DC-4601-A84C-7ABCF9218E28}"/>
    <hyperlink ref="A85" r:id="rId167" display="https://www.fangraphs.com/players/kody-clemens/20572/stats?position=1B" xr:uid="{E28463C1-A06B-40A2-8CBE-2940832DE66C}"/>
    <hyperlink ref="B85" r:id="rId168" display="https://www.fangraphs.com/leaders/major-league?pageitems=2000000000&amp;team=8" xr:uid="{B02B36AC-E702-4D4F-89AF-FF97DEE1475B}"/>
    <hyperlink ref="A86" r:id="rId169" display="https://www.fangraphs.com/players/christian-walker/13419/stats?position=1B" xr:uid="{51FB5F1A-B112-49DF-BBC3-B47FF1F85130}"/>
    <hyperlink ref="B86" r:id="rId170" display="https://www.fangraphs.com/leaders/major-league?pageitems=2000000000&amp;team=21" xr:uid="{58D8CEDA-5F23-440E-921B-53D74F054FCF}"/>
    <hyperlink ref="A87" r:id="rId171" display="https://www.fangraphs.com/players/ivan-herrera/20599/stats?position=C%2FDH" xr:uid="{DE5D5862-AA61-4C79-AB49-5E39D8FD2467}"/>
    <hyperlink ref="B87" r:id="rId172" display="https://www.fangraphs.com/leaders/major-league?pageitems=2000000000&amp;team=28" xr:uid="{36FCEC80-7D0C-4A8A-B139-ABAD151BE675}"/>
    <hyperlink ref="A88" r:id="rId173" display="https://www.fangraphs.com/players/bryson-stott/26294/stats?position=2B" xr:uid="{35148A01-08BE-4BA7-8495-5FD26882B547}"/>
    <hyperlink ref="B88" r:id="rId174" display="https://www.fangraphs.com/leaders/major-league?pageitems=2000000000&amp;team=26" xr:uid="{609AE9EA-4525-4659-A3AD-37194186DF95}"/>
    <hyperlink ref="A89" r:id="rId175" display="https://www.fangraphs.com/players/tyler-soderstrom/27467/stats?position=1B%2FOF" xr:uid="{FFAF6C3B-8D27-4794-A37B-6BA8C3937F02}"/>
    <hyperlink ref="B89" r:id="rId176" display="https://www.fangraphs.com/leaders/major-league?pageitems=2000000000&amp;team=10" xr:uid="{0A7A0AF4-9B7E-4B4D-9C2E-8B479DF1A3D2}"/>
    <hyperlink ref="A90" r:id="rId177" display="https://www.fangraphs.com/players/andres-gimenez/19950/stats?position=2B" xr:uid="{B31B0DB7-08F0-498B-827F-84E8D017E600}"/>
    <hyperlink ref="B90" r:id="rId178" display="https://www.fangraphs.com/leaders/major-league?pageitems=2000000000&amp;team=14" xr:uid="{88A0BC0C-12D6-4C13-8753-95533A61A245}"/>
    <hyperlink ref="A91" r:id="rId179" display="https://www.fangraphs.com/players/samuel-antonacci/35101/stats?position=OF" xr:uid="{B3014B03-0408-48EA-B5D2-51928F0BC042}"/>
    <hyperlink ref="B91" r:id="rId180" display="https://www.fangraphs.com/leaders/major-league?pageitems=2000000000&amp;team=4" xr:uid="{7907F1A2-19B6-4913-8863-BF614D956336}"/>
    <hyperlink ref="A92" r:id="rId181" display="https://www.fangraphs.com/players/jac-caglianone/35041/stats?position=OF" xr:uid="{EA58007B-933F-4F32-A18D-77FFEEFEE8F8}"/>
    <hyperlink ref="B92" r:id="rId182" display="https://www.fangraphs.com/leaders/major-league?pageitems=2000000000&amp;team=7" xr:uid="{9FE1D0D8-F770-4F94-ADE1-FD979B1F3C25}"/>
    <hyperlink ref="A93" r:id="rId183" display="https://www.fangraphs.com/players/nolan-arenado/9777/stats?position=3B" xr:uid="{019872DF-FCB0-4221-9F24-39D859150946}"/>
    <hyperlink ref="B93" r:id="rId184" display="https://www.fangraphs.com/leaders/major-league?pageitems=2000000000&amp;team=15" xr:uid="{85279C1C-F4BF-4B59-A673-8AE59D7524E5}"/>
    <hyperlink ref="A94" r:id="rId185" display="https://www.fangraphs.com/players/masyn-winn/27479/stats?position=SS" xr:uid="{C47E60BB-F0A6-4F6A-B158-6F9BB874D318}"/>
    <hyperlink ref="B94" r:id="rId186" display="https://www.fangraphs.com/leaders/major-league?pageitems=2000000000&amp;team=28" xr:uid="{C329EF64-AF46-469C-9786-6C0707F24645}"/>
    <hyperlink ref="A95" r:id="rId187" display="https://www.fangraphs.com/players/carter-jensen/29478/stats?position=C%2FDH" xr:uid="{DD1BED37-F073-448B-B27F-DE06710F74AC}"/>
    <hyperlink ref="B95" r:id="rId188" display="https://www.fangraphs.com/leaders/major-league?pageitems=2000000000&amp;team=7" xr:uid="{C341E606-32A5-44DE-A9FD-755E49DD0CFF}"/>
    <hyperlink ref="A96" r:id="rId189" display="https://www.fangraphs.com/players/caleb-durbin/29646/stats?position=3B" xr:uid="{7A268AFC-8547-4C17-9CB8-53A6CD00C94B}"/>
    <hyperlink ref="B96" r:id="rId190" display="https://www.fangraphs.com/leaders/major-league?pageitems=2000000000&amp;team=3" xr:uid="{05B5D98A-A24E-4097-952D-410A05226EC2}"/>
    <hyperlink ref="A97" r:id="rId191" display="https://www.fangraphs.com/players/drake-baldwin/31539/stats?position=C" xr:uid="{8779CE3E-AF16-4992-A8C2-EE97D79AF88B}"/>
    <hyperlink ref="B97" r:id="rId192" display="https://www.fangraphs.com/leaders/major-league?pageitems=2000000000&amp;team=16" xr:uid="{DE7ED40F-21F6-4589-85BE-DAA3042D33F5}"/>
    <hyperlink ref="A98" r:id="rId193" display="https://www.fangraphs.com/players/manny-machado/11493/stats?position=3B" xr:uid="{69DAE512-A87C-43EF-B6EB-29AA9847EEF4}"/>
    <hyperlink ref="B98" r:id="rId194" display="https://www.fangraphs.com/leaders/major-league?pageitems=2000000000&amp;team=29" xr:uid="{9F431BF7-65DD-4F0B-B94B-30AAD163A49F}"/>
    <hyperlink ref="A99" r:id="rId195" display="https://www.fangraphs.com/players/brooks-lee/31595/stats?position=3B%2FSS" xr:uid="{E5A844B0-C701-4FAA-8F00-82A1E987FE96}"/>
    <hyperlink ref="B99" r:id="rId196" display="https://www.fangraphs.com/leaders/major-league?pageitems=2000000000&amp;team=8" xr:uid="{B0B9238A-2F1A-473C-8889-F14A28452193}"/>
    <hyperlink ref="A100" r:id="rId197" display="https://www.fangraphs.com/players/matt-chapman/16505/stats?position=3B" xr:uid="{079064A3-156F-455F-83B9-D442AA8C2919}"/>
    <hyperlink ref="B100" r:id="rId198" display="https://www.fangraphs.com/leaders/major-league?pageitems=2000000000&amp;team=30" xr:uid="{443F038E-B79E-4A33-988F-17AD8B5C68D0}"/>
    <hyperlink ref="A101" r:id="rId199" display="https://www.fangraphs.com/players/brandon-nimmo/12927/stats?position=OF" xr:uid="{DE4B62E9-1982-4CE3-9F73-B7E068535872}"/>
    <hyperlink ref="B101" r:id="rId200" display="https://www.fangraphs.com/leaders/major-league?pageitems=2000000000&amp;team=13" xr:uid="{80132E0C-67E9-49A3-99FF-B028C46D2154}"/>
    <hyperlink ref="A102" r:id="rId201" display="https://www.fangraphs.com/players/rafael-devers/17350/stats?position=3B" xr:uid="{A21916F8-8DBC-475D-8227-44D6383D5FAF}"/>
    <hyperlink ref="B102" r:id="rId202" display="https://www.fangraphs.com/leaders/major-league?pageitems=2000000000&amp;team=30" xr:uid="{5EE86B21-1595-4539-AD5C-F1E793BB8F8F}"/>
    <hyperlink ref="A103" r:id="rId203" display="https://www.fangraphs.com/players/ernie-clement/20352/stats?position=2B%2F3B" xr:uid="{92084D09-B001-480B-87BB-08B2E7D3A410}"/>
    <hyperlink ref="B103" r:id="rId204" display="https://www.fangraphs.com/leaders/major-league?pageitems=2000000000&amp;team=14" xr:uid="{8E67CDB9-E79A-4870-B3C9-F1402FA478FF}"/>
    <hyperlink ref="A104" r:id="rId205" display="https://www.fangraphs.com/players/nico-hoerner/21479/stats?position=2B%2FSS" xr:uid="{C504952A-03E7-42D5-9AE2-93B8F40BB98C}"/>
    <hyperlink ref="B104" r:id="rId206" display="https://www.fangraphs.com/leaders/major-league?pageitems=2000000000&amp;team=17" xr:uid="{4660A6F1-7D32-4830-80E6-F34B1B82CAD0}"/>
    <hyperlink ref="A105" r:id="rId207" display="https://www.fangraphs.com/players/chandler-simpson/31912/stats?position=OF" xr:uid="{6B906866-1504-4202-A9B2-6541C3F07822}"/>
    <hyperlink ref="B105" r:id="rId208" display="https://www.fangraphs.com/leaders/major-league?pageitems=2000000000&amp;team=12" xr:uid="{704C18AB-2C6B-44C1-A17D-559E677AD0C3}"/>
    <hyperlink ref="A106" r:id="rId209" display="https://www.fangraphs.com/players/cam-smith/35108/stats?position=OF" xr:uid="{B31DE2AD-C5A7-4652-B0AB-45BE9C09F1A2}"/>
    <hyperlink ref="B106" r:id="rId210" display="https://www.fangraphs.com/leaders/major-league?pageitems=2000000000&amp;team=21" xr:uid="{DC04B727-C2FF-43F8-AC61-B4CE6CC94C36}"/>
    <hyperlink ref="A107" r:id="rId211" display="https://www.fangraphs.com/players/kyle-stowers/26151/stats?position=OF" xr:uid="{3F9F8067-F5E0-402C-95D7-CC0F4181543F}"/>
    <hyperlink ref="B107" r:id="rId212" display="https://www.fangraphs.com/leaders/major-league?pageitems=2000000000&amp;team=20" xr:uid="{F4FC82D8-774C-4765-B4AC-8AE3E03B13F4}"/>
    <hyperlink ref="A108" r:id="rId213" display="https://www.fangraphs.com/players/ryan-ohearn/16442/stats?position=1B" xr:uid="{311D8D9E-C717-4FB9-A982-A96CDE180AC2}"/>
    <hyperlink ref="B108" r:id="rId214" display="https://www.fangraphs.com/leaders/major-league?pageitems=2000000000&amp;team=27" xr:uid="{94F77E96-C5D7-4D74-952D-CD43E4324950}"/>
    <hyperlink ref="A109" r:id="rId215" display="https://www.fangraphs.com/players/trent-grisham/18564/stats?position=OF" xr:uid="{DD4FFD16-2352-473C-A23D-5D4C00EFDBEF}"/>
    <hyperlink ref="B109" r:id="rId216" display="https://www.fangraphs.com/leaders/major-league?pageitems=2000000000&amp;team=9" xr:uid="{3DEDF74F-0488-4BC7-9611-BBCA219D1655}"/>
    <hyperlink ref="A110" r:id="rId217" display="https://www.fangraphs.com/players/nolan-schanuel/33189/stats?position=1B" xr:uid="{98C4A660-860F-42CB-A6B8-49B78CC01AAC}"/>
    <hyperlink ref="B110" r:id="rId218" display="https://www.fangraphs.com/leaders/major-league?pageitems=2000000000&amp;team=1" xr:uid="{1923029E-5815-495D-838C-9AC199073B5D}"/>
    <hyperlink ref="A111" r:id="rId219" display="https://www.fangraphs.com/players/daulton-varsho/19918/stats?position=OF" xr:uid="{0C30D6A9-A5EC-46BF-868B-CEB576794638}"/>
    <hyperlink ref="B111" r:id="rId220" display="https://www.fangraphs.com/leaders/major-league?pageitems=2000000000&amp;team=14" xr:uid="{756CE6E7-A091-46F2-B4C5-BBDCE2CCF632}"/>
    <hyperlink ref="A112" r:id="rId221" display="https://www.fangraphs.com/players/jake-burger/22275/stats?position=1B%2F3B" xr:uid="{E9BF39AF-EF23-4E82-99A2-678BE2F67EDB}"/>
    <hyperlink ref="B112" r:id="rId222" display="https://www.fangraphs.com/leaders/major-league?pageitems=2000000000&amp;team=13" xr:uid="{5AEF4EE1-F002-4C86-9574-6D5BA91A6D3F}"/>
    <hyperlink ref="A113" r:id="rId223" display="https://www.fangraphs.com/players/samuel-basallo/28824/stats?position=C%2FDH" xr:uid="{BAF72EA7-8041-42EB-8275-24F2C67CA5FC}"/>
    <hyperlink ref="B113" r:id="rId224" display="https://www.fangraphs.com/leaders/major-league?pageitems=2000000000&amp;team=2" xr:uid="{594C2627-EE62-4A34-B56B-15ADFFD7CD57}"/>
    <hyperlink ref="A114" r:id="rId225" display="https://www.fangraphs.com/players/kyle-tucker/18345/stats?position=OF" xr:uid="{C7B982FB-8A00-4D8B-ADF3-FA9EF288AE3A}"/>
    <hyperlink ref="B114" r:id="rId226" display="https://www.fangraphs.com/leaders/major-league?pageitems=2000000000&amp;team=22" xr:uid="{B44AD99A-82EB-4528-9CB8-44C0CA438761}"/>
    <hyperlink ref="A115" r:id="rId227" display="https://www.fangraphs.com/players/vladimir-guerrero-jr/19611/stats?position=1B" xr:uid="{5C0CA5CB-666B-4527-BFB4-3C11B03D69D6}"/>
    <hyperlink ref="B115" r:id="rId228" display="https://www.fangraphs.com/leaders/major-league?pageitems=2000000000&amp;team=14" xr:uid="{571842C2-A6F5-4AFB-9249-D8678080F5E0}"/>
    <hyperlink ref="A116" r:id="rId229" display="https://www.fangraphs.com/players/luke-keaschall/33321/stats?position=2B" xr:uid="{6F163FB6-10EA-4858-BB91-B0A009EB9CAC}"/>
    <hyperlink ref="B116" r:id="rId230" display="https://www.fangraphs.com/leaders/major-league?pageitems=2000000000&amp;team=8" xr:uid="{E1AB5C5C-A594-4F22-A8BF-1E18F8CFBC2D}"/>
    <hyperlink ref="A117" r:id="rId231" display="https://www.fangraphs.com/players/steven-kwan/24610/stats?position=OF" xr:uid="{F8C676D5-FF04-4227-A7C6-C879D49E2ED1}"/>
    <hyperlink ref="B117" r:id="rId232" display="https://www.fangraphs.com/leaders/major-league?pageitems=2000000000&amp;team=5" xr:uid="{5CB0CCB5-257A-4487-A639-4E7275D0DA09}"/>
    <hyperlink ref="A118" r:id="rId233" display="https://www.fangraphs.com/players/jung-hoo-lee/33824/stats?position=OF" xr:uid="{1C13E142-DF34-48B6-A46F-8ECC0F67320C}"/>
    <hyperlink ref="B118" r:id="rId234" display="https://www.fangraphs.com/leaders/major-league?pageitems=2000000000&amp;team=30" xr:uid="{EFA60AC9-75D4-4FB3-9B28-54D38A29B9A4}"/>
    <hyperlink ref="A119" r:id="rId235" display="https://www.fangraphs.com/players/bo-bichette/19612/stats?position=SS" xr:uid="{1CD58283-5102-4DFC-8E08-63DEBC9D9E69}"/>
    <hyperlink ref="B119" r:id="rId236" display="https://www.fangraphs.com/leaders/major-league?pageitems=2000000000&amp;team=25" xr:uid="{E38BC826-7BA3-418E-9765-F59B2A353BAE}"/>
    <hyperlink ref="A120" r:id="rId237" display="https://www.fangraphs.com/players/nasim-nunez/25979/stats?position=2B%2FSS" xr:uid="{826D0594-AD81-4E67-925B-3EA1132FA895}"/>
    <hyperlink ref="B120" r:id="rId238" display="https://www.fangraphs.com/leaders/major-league?pageitems=2000000000&amp;team=24" xr:uid="{5EBD9DA2-2A94-404A-9345-ED1415F7B743}"/>
    <hyperlink ref="A121" r:id="rId239" display="https://www.fangraphs.com/players/jp-crawford/15491/stats?position=SS" xr:uid="{54A0ED03-15F5-4029-BA4E-45E7015B915F}"/>
    <hyperlink ref="B121" r:id="rId240" display="https://www.fangraphs.com/leaders/major-league?pageitems=2000000000&amp;team=11" xr:uid="{44A15882-0DC4-4BFB-983E-D4015791C84F}"/>
    <hyperlink ref="A122" r:id="rId241" display="https://www.fangraphs.com/players/jose-caballero/23401/stats?position=SS" xr:uid="{7768A215-34D4-48BD-AC59-AF8B1BD35D77}"/>
    <hyperlink ref="B122" r:id="rId242" display="https://www.fangraphs.com/leaders/major-league?pageitems=2000000000&amp;team=9" xr:uid="{763A148B-2002-452D-ADA3-A0A91584404A}"/>
    <hyperlink ref="A123" r:id="rId243" display="https://www.fangraphs.com/players/spencer-steer/26323/stats?position=1B%2FOF" xr:uid="{232E8CE5-1346-4F94-AD28-E88E6E98CDEF}"/>
    <hyperlink ref="B123" r:id="rId244" display="https://www.fangraphs.com/leaders/major-league?pageitems=2000000000&amp;team=18" xr:uid="{B081DEA9-9EEB-49C3-9916-655A4064D14A}"/>
    <hyperlink ref="A124" r:id="rId245" display="https://www.fangraphs.com/players/jackson-merrill/29490/stats?position=OF" xr:uid="{342A799F-008B-4F8D-8D03-464C7E921BDA}"/>
    <hyperlink ref="B124" r:id="rId246" display="https://www.fangraphs.com/leaders/major-league?pageitems=2000000000&amp;team=29" xr:uid="{956F7A4F-31F4-448C-BBCC-A4C7D2500A47}"/>
    <hyperlink ref="A125" r:id="rId247" display="https://www.fangraphs.com/players/daylen-lile/29995/stats?position=OF" xr:uid="{D7FDEA43-8C89-4598-836A-7C13BC487FFA}"/>
    <hyperlink ref="B125" r:id="rId248" display="https://www.fangraphs.com/leaders/major-league?pageitems=2000000000&amp;team=24" xr:uid="{944C59D2-040E-4736-9E52-CC9B3E67D40B}"/>
    <hyperlink ref="A126" r:id="rId249" display="https://www.fangraphs.com/players/gavin-sheets/19901/stats?position=DH%2FOF" xr:uid="{BC2AFEEA-CF08-4A92-AF6F-22AD22A9D6F9}"/>
    <hyperlink ref="B126" r:id="rId250" display="https://www.fangraphs.com/leaders/major-league?pageitems=2000000000&amp;team=29" xr:uid="{36AC3532-CCBD-4B5C-A291-DD1B4794752F}"/>
    <hyperlink ref="A127" r:id="rId251" display="https://www.fangraphs.com/players/troy-johnston/26143/stats?position=OF" xr:uid="{423767DF-2E39-4FE8-BD0A-B5430A17F975}"/>
    <hyperlink ref="B127" r:id="rId252" display="https://www.fangraphs.com/leaders/major-league?pageitems=2000000000&amp;team=19" xr:uid="{19343C8F-9785-4C85-B5BB-3AA9C1524F11}"/>
    <hyperlink ref="A128" r:id="rId253" display="https://www.fangraphs.com/players/jose-altuve/5417/stats?position=2B" xr:uid="{110C72E2-232C-4A76-8216-54EA0CEE1DF9}"/>
    <hyperlink ref="B128" r:id="rId254" display="https://www.fangraphs.com/leaders/major-league?pageitems=2000000000&amp;team=21" xr:uid="{00EF350C-C03B-4F4F-8F81-123F1F73B969}"/>
    <hyperlink ref="A129" r:id="rId255" display="https://www.fangraphs.com/players/ildemaro-vargas/13324/stats?position=2B%2F3B" xr:uid="{4C2BF13B-B208-4BA4-8DA2-0FF1DBD4E74B}"/>
    <hyperlink ref="B129" r:id="rId256" display="https://www.fangraphs.com/leaders/major-league?pageitems=2000000000&amp;team=15" xr:uid="{558F4E89-2092-4183-9594-1BAE1A25104E}"/>
    <hyperlink ref="A130" r:id="rId257" display="https://www.fangraphs.com/players/cedric-mullins/17929/stats?position=OF" xr:uid="{89FADF41-7D17-44D9-93B4-2BFA89D18B96}"/>
    <hyperlink ref="B130" r:id="rId258" display="https://www.fangraphs.com/leaders/major-league?pageitems=2000000000&amp;team=12" xr:uid="{71665050-8FA1-4D40-B557-87DD861F8B37}"/>
    <hyperlink ref="A131" r:id="rId259" display="https://www.fangraphs.com/players/josh-bell/13145/stats?position=1B%2FDH" xr:uid="{AAFA6806-2423-4C47-A723-E5E5840BDE01}"/>
    <hyperlink ref="B131" r:id="rId260" display="https://www.fangraphs.com/leaders/major-league?pageitems=2000000000&amp;team=8" xr:uid="{D7B82B56-681A-4FCD-BFE3-CD1E2AE90C07}"/>
    <hyperlink ref="A132" r:id="rId261" display="https://www.fangraphs.com/players/trea-turner/16252/stats?position=SS" xr:uid="{78F7BAC5-6B73-47D6-A0F0-33D5513E38C0}"/>
    <hyperlink ref="B132" r:id="rId262" display="https://www.fangraphs.com/leaders/major-league?pageitems=2000000000&amp;team=26" xr:uid="{41A72DDD-3D98-420B-9F39-21E9FA4587BF}"/>
    <hyperlink ref="A133" r:id="rId263" display="https://www.fangraphs.com/players/isaac-collins/25477/stats?position=OF" xr:uid="{2FE5F8E0-B832-42EA-B927-850B8770C7FC}"/>
    <hyperlink ref="B133" r:id="rId264" display="https://www.fangraphs.com/leaders/major-league?pageitems=2000000000&amp;team=7" xr:uid="{44BF464A-AB14-4ACE-BFB2-5B24B864DF99}"/>
    <hyperlink ref="A134" r:id="rId265" display="https://www.fangraphs.com/players/jakob-marsee/31370/stats?position=OF" xr:uid="{538D3AD8-9D81-4092-ACC3-30ECC1156B5B}"/>
    <hyperlink ref="B134" r:id="rId266" display="https://www.fangraphs.com/leaders/major-league?pageitems=2000000000&amp;team=20" xr:uid="{47A47E0E-EC54-4BCD-A441-924FEAB0A700}"/>
    <hyperlink ref="A135" r:id="rId267" display="https://www.fangraphs.com/players/josh-naylor/18839/stats?position=1B" xr:uid="{10657AAD-F2AA-4F1C-B14F-342C6BD1E485}"/>
    <hyperlink ref="B135" r:id="rId268" display="https://www.fangraphs.com/leaders/major-league?pageitems=2000000000&amp;team=11" xr:uid="{8232F008-2795-4DDB-B550-A76ECD17F542}"/>
    <hyperlink ref="A136" r:id="rId269" display="https://www.fangraphs.com/players/jarren-duran/24617/stats?position=OF" xr:uid="{F1194DE9-EAC4-4395-B81C-8AEFAF485210}"/>
    <hyperlink ref="B136" r:id="rId270" display="https://www.fangraphs.com/leaders/major-league?pageitems=2000000000&amp;team=3" xr:uid="{255C096F-38D5-4762-9D89-90C38A9A0029}"/>
    <hyperlink ref="A137" r:id="rId271" display="https://www.fangraphs.com/players/willi-castro/17338/stats?position=2B%2FOF" xr:uid="{F1257D37-8BF0-4953-962E-DE1EEFF99BF8}"/>
    <hyperlink ref="B137" r:id="rId272" display="https://www.fangraphs.com/leaders/major-league?pageitems=2000000000&amp;team=19" xr:uid="{E2A00017-D084-499C-A39E-A627FDE338D5}"/>
    <hyperlink ref="A138" r:id="rId273" display="https://www.fangraphs.com/players/willy-adames/15986/stats?position=SS" xr:uid="{8C0E6984-7AA1-47CB-AE14-799933F7806A}"/>
    <hyperlink ref="B138" r:id="rId274" display="https://www.fangraphs.com/leaders/major-league?pageitems=2000000000&amp;team=30" xr:uid="{14BF1999-8A4F-4131-8501-5198CB10D77E}"/>
    <hyperlink ref="A139" r:id="rId275" display="https://www.fangraphs.com/players/matt-mclain/29695/stats?position=2B%2FSS" xr:uid="{94B0C3A8-FD58-469C-A901-E47B459F6726}"/>
    <hyperlink ref="B139" r:id="rId276" display="https://www.fangraphs.com/leaders/major-league?pageitems=2000000000&amp;team=18" xr:uid="{DE8F09C2-D1DC-4DC0-A47B-815E32D080F6}"/>
    <hyperlink ref="A140" r:id="rId277" display="https://www.fangraphs.com/players/jo-adell/20220/stats?position=OF" xr:uid="{87C96ECF-933F-42D6-B507-25507A75F5CE}"/>
    <hyperlink ref="B140" r:id="rId278" display="https://www.fangraphs.com/leaders/major-league?pageitems=2000000000&amp;team=1" xr:uid="{8EE279EF-3120-4691-8125-AB3E36791E0F}"/>
    <hyperlink ref="A141" r:id="rId279" display="https://www.fangraphs.com/players/austin-riley/18360/stats?position=3B" xr:uid="{9217729D-B606-4516-B2BB-7822E6216B56}"/>
    <hyperlink ref="B141" r:id="rId280" display="https://www.fangraphs.com/leaders/major-league?pageitems=2000000000&amp;team=16" xr:uid="{53B27799-71FB-4FE0-B41A-03930069BFCB}"/>
    <hyperlink ref="A142" r:id="rId281" display="https://www.fangraphs.com/players/spencer-torkelson/27465/stats?position=1B" xr:uid="{5E1C6CFE-24E8-43FB-AD43-DCEE0B38AA65}"/>
    <hyperlink ref="B142" r:id="rId282" display="https://www.fangraphs.com/leaders/major-league?pageitems=2000000000&amp;team=6" xr:uid="{1EAE1550-8E7F-43D6-8765-6D1397FB3AD3}"/>
    <hyperlink ref="A143" r:id="rId283" display="https://www.fangraphs.com/players/brett-baty/26123/stats?position=3B" xr:uid="{6D1BDFA7-0175-4907-B051-7619DB1F809C}"/>
    <hyperlink ref="B143" r:id="rId284" display="https://www.fangraphs.com/leaders/major-league?pageitems=2000000000&amp;team=25" xr:uid="{29D5B5B8-1AC2-4C67-832C-0F6C58F8EDFB}"/>
    <hyperlink ref="A144" r:id="rId285" display="https://www.fangraphs.com/players/kyle-manzardo/29794/stats?position=1B%2FDH" xr:uid="{D8CFA0B4-BFC6-495C-936E-BB8C33926412}"/>
    <hyperlink ref="B144" r:id="rId286" display="https://www.fangraphs.com/leaders/major-league?pageitems=2000000000&amp;team=5" xr:uid="{BA043399-6FFC-452A-9311-F1437FF59BC8}"/>
    <hyperlink ref="A145" r:id="rId287" display="https://www.fangraphs.com/players/sal-frelick/29622/stats?position=OF" xr:uid="{73B55F04-5EFC-4B34-A8E0-76F08D09255E}"/>
    <hyperlink ref="B145" r:id="rId288" display="https://www.fangraphs.com/leaders/major-league?pageitems=2000000000&amp;team=23" xr:uid="{40C3831C-90B2-4FFD-9E7D-7DCCE70736EC}"/>
    <hyperlink ref="A146" r:id="rId289" display="https://www.fangraphs.com/players/marcus-semien/12533/stats?position=2B%2FSS" xr:uid="{5D4C3715-CF91-423A-8673-8CA314DBED2F}"/>
    <hyperlink ref="B146" r:id="rId290" display="https://www.fangraphs.com/leaders/major-league?pageitems=2000000000&amp;team=25" xr:uid="{02EB8602-3063-4DD9-A7E2-685C353FA1D3}"/>
    <hyperlink ref="A147" r:id="rId291" display="https://www.fangraphs.com/players/alec-bohm/21618/stats?position=3B" xr:uid="{2FA04728-5409-4D44-B326-8D7302188028}"/>
    <hyperlink ref="B147" r:id="rId292" display="https://www.fangraphs.com/leaders/major-league?pageitems=2000000000&amp;team=26" xr:uid="{49DEB6FF-E386-4821-89C8-0B80EDD9B6B8}"/>
    <hyperlink ref="A148" r:id="rId293" display="https://www.fangraphs.com/players/jorge-soler/14221/stats?position=DH%2FOF" xr:uid="{5A161539-3375-4CEC-B11D-DC32B2DC4C72}"/>
    <hyperlink ref="B148" r:id="rId294" display="https://www.fangraphs.com/leaders/major-league?pageitems=2000000000&amp;team=1" xr:uid="{F4DD3B6C-404C-474B-AA30-D1E59B6E1900}"/>
    <hyperlink ref="A149" r:id="rId295" display="https://www.fangraphs.com/players/ezequiel-tovar/24064/stats?position=SS" xr:uid="{542EB1B2-189A-4274-8614-BDB114ECD210}"/>
    <hyperlink ref="B149" r:id="rId296" display="https://www.fangraphs.com/leaders/major-league?pageitems=2000000000&amp;team=19" xr:uid="{54D9CBB6-B6CD-473D-A13F-A6CC8FD9D0F7}"/>
    <hyperlink ref="A150" r:id="rId297" display="https://www.fangraphs.com/players/salvador-perez/7304/stats?position=C" xr:uid="{C2395F87-71D8-410B-A030-9EED35F34FA8}"/>
    <hyperlink ref="B150" r:id="rId298" display="https://www.fangraphs.com/leaders/major-league?pageitems=2000000000&amp;team=7" xr:uid="{CDC24D17-4CDE-4B9B-9D80-FE2B20AA79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AD6F3E271C774BA24F5E2DF7D81265" ma:contentTypeVersion="4" ma:contentTypeDescription="Create a new document." ma:contentTypeScope="" ma:versionID="e068ff42750f09288301af496490ec7f">
  <xsd:schema xmlns:xsd="http://www.w3.org/2001/XMLSchema" xmlns:xs="http://www.w3.org/2001/XMLSchema" xmlns:p="http://schemas.microsoft.com/office/2006/metadata/properties" xmlns:ns3="e5d3a947-88cb-4715-8973-f1a485805f15" targetNamespace="http://schemas.microsoft.com/office/2006/metadata/properties" ma:root="true" ma:fieldsID="eb8ad6e782bf532e80d7c2f21f1a504a" ns3:_="">
    <xsd:import namespace="e5d3a947-88cb-4715-8973-f1a485805f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3a947-88cb-4715-8973-f1a485805f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47C91C-A625-1145-9ACE-1C890D51810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78FC1E6-1A23-4168-9493-D9222AB33678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e5d3a947-88cb-4715-8973-f1a485805f15"/>
  </ds:schemaRefs>
</ds:datastoreItem>
</file>

<file path=customXml/itemProps3.xml><?xml version="1.0" encoding="utf-8"?>
<ds:datastoreItem xmlns:ds="http://schemas.openxmlformats.org/officeDocument/2006/customXml" ds:itemID="{4B782D89-EB33-411B-8ABE-61AF7EF4597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5d3a947-88cb-4715-8973-f1a485805f1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1A6D31-550D-4527-A4FE-D206B0B569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Trade_Board</vt:lpstr>
      <vt:lpstr>Raw_Fangraphs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Anderson</dc:creator>
  <cp:lastModifiedBy>Evan Anderson</cp:lastModifiedBy>
  <dcterms:created xsi:type="dcterms:W3CDTF">2026-07-13T19:30:56Z</dcterms:created>
  <dcterms:modified xsi:type="dcterms:W3CDTF">2026-10-21T17:25:22Z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0x010100E5AD6F3E271C774BA24F5E2DF7D81265</vt:lpwstr>
  </property>
</Properties>
</file>